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DETAIL_BELANJA" sheetId="1" r:id="rId5"/>
  </sheets>
  <definedNames>
    <definedName hidden="1" localSheetId="0" name="_xlnm._FilterDatabase">MASTER_DETAIL_BELANJA!$A$1:$J$201</definedName>
  </definedNames>
  <calcPr/>
</workbook>
</file>

<file path=xl/sharedStrings.xml><?xml version="1.0" encoding="utf-8"?>
<sst xmlns="http://schemas.openxmlformats.org/spreadsheetml/2006/main" count="1007" uniqueCount="269">
  <si>
    <t>id_detail</t>
  </si>
  <si>
    <t>kode_rekening</t>
  </si>
  <si>
    <t>nama_detail_belanja</t>
  </si>
  <si>
    <t>PROGRAM</t>
  </si>
  <si>
    <t>KEGIATAN</t>
  </si>
  <si>
    <t>SUB KEGIATAN</t>
  </si>
  <si>
    <t>Kuefisien</t>
  </si>
  <si>
    <t>Satuan</t>
  </si>
  <si>
    <t>Harga</t>
  </si>
  <si>
    <t>Pagu</t>
  </si>
  <si>
    <t>Sisa Kuefisien</t>
  </si>
  <si>
    <t>Realisasi</t>
  </si>
  <si>
    <t>Sisa Pagu</t>
  </si>
  <si>
    <t>5.1.02.04.01.0003</t>
  </si>
  <si>
    <t>Uang Harian Dalam Daerah kegiatan lebih dari 8 Jam</t>
  </si>
  <si>
    <t>7.01.01.2.01</t>
  </si>
  <si>
    <t>7.01.01.2.01.0001</t>
  </si>
  <si>
    <t>Orang / Hari</t>
  </si>
  <si>
    <t>5.1.02.04.01.0004</t>
  </si>
  <si>
    <t>Uang Harian Kegiatan Rapat Hotel atau Pertemuan di Luar Kantor
Halfday / Fullday di Dalam Kabupaten Bandung</t>
  </si>
  <si>
    <t>5.1.02.04.01.0001</t>
  </si>
  <si>
    <t>Uang Harian Perjalanan Dinas Dalam Negeri, Luar Kota Provinsi Jawa Barat, Lebih dari 8 Jam</t>
  </si>
  <si>
    <t>5.1.02.04.01.0005</t>
  </si>
  <si>
    <t>Uang Harian Kegiatan Rapat Hotel atau Pertemuan di Luar Kantor
Halfday / Fullday di Luar Kota - Jawa Barat</t>
  </si>
  <si>
    <t>7.01.01.2.01.0006</t>
  </si>
  <si>
    <t>7.01.01.2.01.0008</t>
  </si>
  <si>
    <t>5.1.01.01.01.0001</t>
  </si>
  <si>
    <t>Belanja Gaji Pokok PNS</t>
  </si>
  <si>
    <t>7.01.01.2.02</t>
  </si>
  <si>
    <t>7.01.01.2.02.0001</t>
  </si>
  <si>
    <t>Tahun</t>
  </si>
  <si>
    <t>5.1.01.01.01.0002</t>
  </si>
  <si>
    <t>Belanja Gaji Pokok PPPK</t>
  </si>
  <si>
    <t>5.1.01.01.02.0001</t>
  </si>
  <si>
    <t>Belanja Tunjangan Keluarga PNS</t>
  </si>
  <si>
    <t>5.1.01.01.02.0002</t>
  </si>
  <si>
    <t>Belanja Tunjangan Keluarga PPPK</t>
  </si>
  <si>
    <t>5.1.01.01.03.0001</t>
  </si>
  <si>
    <t>Belanja Tunjangan Jabatan PNS</t>
  </si>
  <si>
    <t>5.1.01.01.04.0002</t>
  </si>
  <si>
    <t>Belanja Tunjangan Fungsional PPPK</t>
  </si>
  <si>
    <t>5.1.01.01.05.0001</t>
  </si>
  <si>
    <t>Belanja Tunjangan Fungsional Umum PNS</t>
  </si>
  <si>
    <t>5.1.01.01.05.0002</t>
  </si>
  <si>
    <t>Belanja Tunjangan Fungsional Umum PPPK</t>
  </si>
  <si>
    <t>5.1.01.01.06.0001</t>
  </si>
  <si>
    <t>Belanja Tunjangan Beras PNS</t>
  </si>
  <si>
    <t>5.1.01.01.06.0002</t>
  </si>
  <si>
    <t>Belanja Tunjangan Beras PPPK</t>
  </si>
  <si>
    <t>5.1.01.01.07.0001</t>
  </si>
  <si>
    <t>Belanja Tunjangan PPh/Tunjangan Khusus PNS</t>
  </si>
  <si>
    <t>5.1.01.01.08.0001</t>
  </si>
  <si>
    <t>Belanja Pembulatan Gaji PNS</t>
  </si>
  <si>
    <t>5.1.01.01.08.0002</t>
  </si>
  <si>
    <t>Belanja Pembulatan Gaji PPPK</t>
  </si>
  <si>
    <t>5.1.01.01.09.0001</t>
  </si>
  <si>
    <t>Belanja Iuran Jaminan Kesehatan PNS</t>
  </si>
  <si>
    <t>5.1.01.01.09.0002</t>
  </si>
  <si>
    <t>Belanja Iuran Jaminan Kesehatan PPPK</t>
  </si>
  <si>
    <t>5.1.01.02.01.0001</t>
  </si>
  <si>
    <t>Tambahan Penghasilan berdasarkan Beban Kerja PNS</t>
  </si>
  <si>
    <t>5.1.01.02.01.0002</t>
  </si>
  <si>
    <t>Tambahan Penghasilan berdasarkan Beban Kerja PPPK</t>
  </si>
  <si>
    <t>5.1.01.02.03.0001</t>
  </si>
  <si>
    <t>Tambahan Penghasilan berdasarkan Kondisi Kerja PNS</t>
  </si>
  <si>
    <t>5.1.01.02.05.0001</t>
  </si>
  <si>
    <t>Tambahan Penghasilan berdasarkan Prestasi Kerja PNS</t>
  </si>
  <si>
    <t>5.1.01.02.05.0002</t>
  </si>
  <si>
    <t>Tambahan Penghasilan berdasarkan Prestasi Kerja PPPK</t>
  </si>
  <si>
    <t>7.01.01.2.03</t>
  </si>
  <si>
    <t>7.01.01.2.03.0006</t>
  </si>
  <si>
    <t>5.1.02.01.01.0052</t>
  </si>
  <si>
    <t>Kudapan/Snack Rapat Biasa</t>
  </si>
  <si>
    <t>7.01.01.2.05</t>
  </si>
  <si>
    <t>7.01.01.2.05.0010</t>
  </si>
  <si>
    <t>Orang / Kali</t>
  </si>
  <si>
    <t>Makanan dan Minuman Rapat Biasa</t>
  </si>
  <si>
    <t>5.1.02.01.01.0031</t>
  </si>
  <si>
    <t>Baterai, Ukuran A2</t>
  </si>
  <si>
    <t>7.01.01.2.06</t>
  </si>
  <si>
    <t>7.01.01.2.06.0001</t>
  </si>
  <si>
    <t>Buah</t>
  </si>
  <si>
    <t>Baterai, Ukuran A3</t>
  </si>
  <si>
    <t>Lampu Bohlam LED 25 Watt</t>
  </si>
  <si>
    <t>5.1.02.01.01.0024</t>
  </si>
  <si>
    <t>Buku Kwitansi Sedang</t>
  </si>
  <si>
    <t>7.01.01.2.06.0002</t>
  </si>
  <si>
    <t>Buku</t>
  </si>
  <si>
    <t>Buku Ekspedisi</t>
  </si>
  <si>
    <t>Sticky note plastik</t>
  </si>
  <si>
    <t>Ballpoint - 0,5 Mm</t>
  </si>
  <si>
    <t>Buku Tulis Folio</t>
  </si>
  <si>
    <t>Pembolong Kertas</t>
  </si>
  <si>
    <t>Binder Clip No 111, 25 mm</t>
  </si>
  <si>
    <t>Pak</t>
  </si>
  <si>
    <t>Binder Clip No 200, 41 mm</t>
  </si>
  <si>
    <t>Isi Hekter Kecil</t>
  </si>
  <si>
    <t>Map Kertas Biasa</t>
  </si>
  <si>
    <t>Ballpoint - Balliner 0,8 mm</t>
  </si>
  <si>
    <t>Lusin</t>
  </si>
  <si>
    <t>Guide Arsip/Sekat Arsip</t>
  </si>
  <si>
    <t>Per Bungkus</t>
  </si>
  <si>
    <t>Bindex - Bindex Ordener</t>
  </si>
  <si>
    <t>5.1.02.01.01.0025</t>
  </si>
  <si>
    <t>Kertas - HVS A4 80 Gsm</t>
  </si>
  <si>
    <t>Rim</t>
  </si>
  <si>
    <t>Kertas F4 70 gr</t>
  </si>
  <si>
    <t>Putih Polos No. 90 berperekat</t>
  </si>
  <si>
    <t>Dus</t>
  </si>
  <si>
    <t>Putih Polos No. 104 berperekat</t>
  </si>
  <si>
    <t>5.1.02.01.001.00035</t>
  </si>
  <si>
    <t xml:space="preserve">	Karangan Bunga</t>
  </si>
  <si>
    <t>5.1.02.01.01.0029</t>
  </si>
  <si>
    <t>Tinta Printer - L120 L300</t>
  </si>
  <si>
    <t>Set</t>
  </si>
  <si>
    <t>Tinta Printer Warna Original 70 ml</t>
  </si>
  <si>
    <t>Cartridge - Printer</t>
  </si>
  <si>
    <t>5.1.02.01.01.0012</t>
  </si>
  <si>
    <t>Sabun Cuci Piring Kemasan Pouch Refill</t>
  </si>
  <si>
    <t>7.01.01.2.06.0003</t>
  </si>
  <si>
    <t>Tissue Box</t>
  </si>
  <si>
    <t>Pembersih Lantai</t>
  </si>
  <si>
    <t>5.1.02.01.01.0043</t>
  </si>
  <si>
    <t>Air Mineral Galon</t>
  </si>
  <si>
    <t>7.01.01.2.06.0004</t>
  </si>
  <si>
    <t>Galon</t>
  </si>
  <si>
    <t>Air Mineral 240 ml</t>
  </si>
  <si>
    <t>Pembulatan</t>
  </si>
  <si>
    <t>7.01.01.2.06.0005</t>
  </si>
  <si>
    <t>Rupiah</t>
  </si>
  <si>
    <t>Cetak Spanduk, Bahan Flexy China</t>
  </si>
  <si>
    <t>M</t>
  </si>
  <si>
    <t>Cetak Umbul-Umbul, 1 x 3 M</t>
  </si>
  <si>
    <t>Buku Disposisi</t>
  </si>
  <si>
    <t>Fotocopy - F.4</t>
  </si>
  <si>
    <t>Lembar</t>
  </si>
  <si>
    <t>Fotocopy - A.4</t>
  </si>
  <si>
    <t>Box Arsip Kertas/Dus Berlogo Badan</t>
  </si>
  <si>
    <t>5.1.02.02.01.0062</t>
  </si>
  <si>
    <t>Surat Kabar Regional</t>
  </si>
  <si>
    <t>7.01.01.2.06.0006</t>
  </si>
  <si>
    <t>Eksemplar</t>
  </si>
  <si>
    <t>5.1.02.01.01.0053</t>
  </si>
  <si>
    <t>Kudapan/Snack</t>
  </si>
  <si>
    <t>7.01.01.2.06.0008</t>
  </si>
  <si>
    <t>Buah-buahan/Parcel</t>
  </si>
  <si>
    <t>7.01.01.2.06.0009</t>
  </si>
  <si>
    <t>Biaya Penginapan, Pejabat Eselon III/ Golongan IV, Belum Ditentukan Tujuannya (Bersifat Undangan dan Insidentil)</t>
  </si>
  <si>
    <t>Uang Harian Perjalanan Dinas
Belum Ditentukan Tujuannya (Bersifat Undangan dan Insidentil)</t>
  </si>
  <si>
    <t>5.1.02.01.01.0027</t>
  </si>
  <si>
    <t xml:space="preserve">	Materai</t>
  </si>
  <si>
    <t>7.01.01.2.08</t>
  </si>
  <si>
    <t>7.01.01.2.07.0005</t>
  </si>
  <si>
    <t>5.1.02.01.01.0026</t>
  </si>
  <si>
    <t>5.1.02.02.01.0060</t>
  </si>
  <si>
    <t>Biaya Pembayaran PDAM Kelompok II Golongan 2 L 1, Lembaga Pemerintah Bukan Lembaga Usaha (Tarif Per Blok Konsumsi II 20 M³)</t>
  </si>
  <si>
    <t>M3</t>
  </si>
  <si>
    <t>5.1.02.02.01.0061</t>
  </si>
  <si>
    <t>Biaya Pembayaran Rekening Listrik Golongan P - I 2200 VA</t>
  </si>
  <si>
    <t>Kwh</t>
  </si>
  <si>
    <t>8.1.02.02.01.0030</t>
  </si>
  <si>
    <t>Tenaga Kebersihan Kantor/Cleaning Service</t>
  </si>
  <si>
    <t>7.01.01.2.08.0004</t>
  </si>
  <si>
    <t>Orang / Bulan</t>
  </si>
  <si>
    <t>5.1.02.02.01.0039</t>
  </si>
  <si>
    <t>Petugas Media Sosial</t>
  </si>
  <si>
    <t>5.1.02.02.01.0044</t>
  </si>
  <si>
    <t>Honorarium Pengelola Layanan Motor Baca</t>
  </si>
  <si>
    <t>5.1.02.02.01.0088</t>
  </si>
  <si>
    <t>Kategori Tugas Administrasi</t>
  </si>
  <si>
    <t>5.1.02.02.01.0090</t>
  </si>
  <si>
    <t>5.1.02.02.02.0005</t>
  </si>
  <si>
    <t>Premi BPJS Kesehatan Bagi Non ASN (4%) * (UMK)</t>
  </si>
  <si>
    <t>5.1.02.02.02.0006</t>
  </si>
  <si>
    <t>BPJS KETENAGAKERJAAN Asuransi Kecelakaan Non ASN Tugas Administrasi, Premi Asuransi Kecelakaan Kerja (0.24) * (Gaji Pokok)</t>
  </si>
  <si>
    <t>BPJS Ketenagakerjaan Jaminan Kecelakaan Kerja (JKK) Non ASN</t>
  </si>
  <si>
    <t>BPJS KETENAGAKERJAAN Asuransi Kematian Non ASN, Tugas Administrasi Premi Asuransi Kematian(0.3) * (Gaji Pokok)</t>
  </si>
  <si>
    <t>BPJS Ketenagakerjaan Jaminan Kemantian (JKM) Non ASN</t>
  </si>
  <si>
    <t>5.1.02.01.01.0004</t>
  </si>
  <si>
    <t>Bahan Bakar Minyak RON 92</t>
  </si>
  <si>
    <t>7.01.01.2.09</t>
  </si>
  <si>
    <t>7.01.01.2.09.0002</t>
  </si>
  <si>
    <t>Liter</t>
  </si>
  <si>
    <t>5.1.02.02.01.0067</t>
  </si>
  <si>
    <t>Biaya Pajak Kendaraan Bermotor, Pajak Kendaraan Dinas Roda 2</t>
  </si>
  <si>
    <t>Unit / Tahun</t>
  </si>
  <si>
    <t>Biaya Pajak Kendaraan Bermotor, Pajak Kendaraan Dinas Operasional Roda 3</t>
  </si>
  <si>
    <t>Biaya Pajak Kendaraan Bermotor, Pajak Kendaraan Dinas Roda 4</t>
  </si>
  <si>
    <t>5.1.02.03.02.0036</t>
  </si>
  <si>
    <t>#Kendaraan Camat
Biaya Pemeliharaan Kendaraan Dinas Operasional Roda Empat</t>
  </si>
  <si>
    <t>#Kendaraan Sekretaris
Biaya Pemeliharaan Kendaraan Dinas Operasional Roda Empat</t>
  </si>
  <si>
    <t>5.1.02.03.02.0039</t>
  </si>
  <si>
    <t>Biaya Pemeliharaan Kendaraan Dinas Operasional Layanan Motor Baca</t>
  </si>
  <si>
    <t>5.1.02.03.02.0038</t>
  </si>
  <si>
    <t>Biaya Pemeliharaan Kendaraan Dinas Operasional Roda Dua</t>
  </si>
  <si>
    <t>5.1.02.03.02.0043</t>
  </si>
  <si>
    <t>Biaya Pemeliharaan Kendaraan Operasional Dalam Lingkungan Kantor</t>
  </si>
  <si>
    <t>5.1.02.03.02.0405</t>
  </si>
  <si>
    <t>Pemeliharaan Personal Computer / Notebook</t>
  </si>
  <si>
    <t>7.01.01.2.09.0006</t>
  </si>
  <si>
    <t>5.1.02.03.02.0409</t>
  </si>
  <si>
    <t>Pemeliharaan Printer</t>
  </si>
  <si>
    <t>7.01.02.2.02</t>
  </si>
  <si>
    <t>7.01.02.2.02.0003</t>
  </si>
  <si>
    <t>7.01.02.2.03</t>
  </si>
  <si>
    <t>7.01.02.2.03.0001</t>
  </si>
  <si>
    <t>5.1.02.01.01.0058</t>
  </si>
  <si>
    <t>7.01.02.2.04</t>
  </si>
  <si>
    <t>7.01.02.2.04.0003</t>
  </si>
  <si>
    <t>Kudapan/Snack 	Aktivitas Lapangan</t>
  </si>
  <si>
    <t>Makanan dan Minuman 	Aktivitas Lapangan</t>
  </si>
  <si>
    <t>5.1.02.02.001.0003</t>
  </si>
  <si>
    <t>Kepala Daerah/Pejabat Setingkat Kepala Daerah/ Pejabat Daerah Lainnya yang disetarakan (Non ASN Pemkab Bandung)</t>
  </si>
  <si>
    <t>Orang / Jam</t>
  </si>
  <si>
    <t>5.1.02.02.005.00009</t>
  </si>
  <si>
    <t>Sewa gedung/ kantor/tempat Sewa Gedung/Aula</t>
  </si>
  <si>
    <t>Kegiatan</t>
  </si>
  <si>
    <t>5.1.02.02.12.0002</t>
  </si>
  <si>
    <t>Sosialisasi Tipe Y.10
Sosialisasi Selama Satu Hari, Peserta PNS dan Non PNS (Var)</t>
  </si>
  <si>
    <t>Sosialisasi Tipe Y.2
Sosialisasi Selama Satu Hari, Peserta Non PNS (Var)</t>
  </si>
  <si>
    <t>Uang Saku Atlet</t>
  </si>
  <si>
    <t>Orang / Kegiatan</t>
  </si>
  <si>
    <t>7.01.03.2.01</t>
  </si>
  <si>
    <t>7.01.03.2.01.0001</t>
  </si>
  <si>
    <t>7.01.03.2.01.0003</t>
  </si>
  <si>
    <t>7.01.03.2.03</t>
  </si>
  <si>
    <t>7.01.03.2.03.0002</t>
  </si>
  <si>
    <t>7.01.03.2.03.0004</t>
  </si>
  <si>
    <t>7.01.03.2.03.0005</t>
  </si>
  <si>
    <t>7.01.03.2.06</t>
  </si>
  <si>
    <t>7.01.03.2.06.0001</t>
  </si>
  <si>
    <t>7.01.03.2.06.0003</t>
  </si>
  <si>
    <t>7.01.03.2.06.0005</t>
  </si>
  <si>
    <t>7.01.03.2.06.0006</t>
  </si>
  <si>
    <t>7.01.03.2.06.0007</t>
  </si>
  <si>
    <t>7.01.03.2.06.0008</t>
  </si>
  <si>
    <t>Sosialisasi Tipe X.14 (Perpres 72)
Sosialisasi di Lingkungan Kantor Pemda Selama Satu Hari, Narasumber Internal (Fix)</t>
  </si>
  <si>
    <t>7.01.03.2.06.0010</t>
  </si>
  <si>
    <t>7.01.03.2.06.0011</t>
  </si>
  <si>
    <t>7.01.03.2.06.0012</t>
  </si>
  <si>
    <t>7.01.04.2.01</t>
  </si>
  <si>
    <t>7.01.04.2.01.0001</t>
  </si>
  <si>
    <t>7.01.04.2.01.0002</t>
  </si>
  <si>
    <t>7.01.04.2.02</t>
  </si>
  <si>
    <t>7.01.04.2.02.0001</t>
  </si>
  <si>
    <t>7.01.05.2.01</t>
  </si>
  <si>
    <t>7.01.05.2.01.0002</t>
  </si>
  <si>
    <t>Makanan Dan Minuman Peringatan Hari Jadi, Tumpeng</t>
  </si>
  <si>
    <t>Komandan Upacara</t>
  </si>
  <si>
    <t>Perwira Upacara</t>
  </si>
  <si>
    <t>5.1.02.02.04.0117</t>
  </si>
  <si>
    <t>Sewa Tenda plafon beserta dekorasinya</t>
  </si>
  <si>
    <t>M2</t>
  </si>
  <si>
    <t>5.1.02.02.04.0132</t>
  </si>
  <si>
    <t>Soundsystem dan Operator - 5.000 Watt</t>
  </si>
  <si>
    <t>Hari</t>
  </si>
  <si>
    <t>5.1.02.02.04.0118</t>
  </si>
  <si>
    <t>Sewa Kursi Lipat</t>
  </si>
  <si>
    <t>Unit</t>
  </si>
  <si>
    <t>7.01.05.2.01.0004</t>
  </si>
  <si>
    <t>5.1.02.02.01.0004</t>
  </si>
  <si>
    <t>Honorarium Tim Pelaksana Kegiatan Yang Ditetapkan Oleh Kepala Daerah - Anggota (Non ASN Pemkab Bandung)</t>
  </si>
  <si>
    <t>7.01.05.2.01.0008</t>
  </si>
  <si>
    <t>7.01.06.2.01</t>
  </si>
  <si>
    <t>7.01.06.2.01.0002</t>
  </si>
  <si>
    <t>7.01.06.2.01.0003</t>
  </si>
  <si>
    <t>7.01.06.2.01.0009</t>
  </si>
  <si>
    <t>5.1.02.02.01.0003</t>
  </si>
  <si>
    <t>Honorarium Narasumber/ Pembahas - Pejabat Eselon II/yang disetarakan (Non ASN Pemkab Bandung)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</si>
</sst>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0" fontId="3" numFmtId="3" xfId="0" applyAlignment="1" applyBorder="1" applyFont="1" applyNumberFormat="1">
      <alignment horizontal="right" shrinkToFit="0" wrapText="1"/>
    </xf>
    <xf borderId="0" fillId="0" fontId="2" numFmtId="3" xfId="0" applyFont="1" applyNumberFormat="1"/>
    <xf borderId="0" fillId="0" fontId="2" numFmtId="0" xfId="0" applyFont="1"/>
    <xf borderId="1" fillId="0" fontId="3" numFmtId="4" xfId="0" applyAlignment="1" applyBorder="1" applyFont="1" applyNumberFormat="1">
      <alignment horizontal="right" shrinkToFit="0" wrapText="1"/>
    </xf>
    <xf borderId="1" fillId="0" fontId="3" numFmtId="0" xfId="0" applyAlignment="1" applyBorder="1" applyFont="1">
      <alignment horizontal="right" shrinkToFit="0" wrapText="1"/>
    </xf>
    <xf borderId="1" fillId="2" fontId="3" numFmtId="3" xfId="0" applyAlignment="1" applyBorder="1" applyFill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24.13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>
      <c r="A2" s="2">
        <v>1.0</v>
      </c>
      <c r="B2" s="2" t="s">
        <v>13</v>
      </c>
      <c r="C2" s="2" t="s">
        <v>14</v>
      </c>
      <c r="D2" s="4">
        <v>36898.0</v>
      </c>
      <c r="E2" s="2" t="s">
        <v>15</v>
      </c>
      <c r="F2" s="2" t="s">
        <v>16</v>
      </c>
      <c r="G2" s="2">
        <v>10.0</v>
      </c>
      <c r="H2" s="2" t="s">
        <v>17</v>
      </c>
      <c r="I2" s="5">
        <v>170000.0</v>
      </c>
      <c r="J2" s="6">
        <f t="shared" ref="J2:J200" si="1">G2*I2</f>
        <v>1700000</v>
      </c>
      <c r="K2" s="7" t="str">
        <f t="shared" ref="K2:K200" si="2">IFERROR(
 XLOOKUP(
  A2,
  INPUT_REALISASI!M:M,
  INPUT_REALISASI!R:R
 ),
 "belum"
)</f>
        <v>belum</v>
      </c>
      <c r="L2" s="7">
        <f t="shared" ref="L2:L200" si="3">IFERROR(
 XLOOKUP(
  A2,
  INPUT_REALISASI!M:M,
  INPUT_REALISASI!S:S
 ),
 0
)</f>
        <v>0</v>
      </c>
      <c r="M2" s="6">
        <f t="shared" ref="M2:M200" si="4">J2-L2</f>
        <v>1700000</v>
      </c>
    </row>
    <row r="3">
      <c r="A3" s="2">
        <v>2.0</v>
      </c>
      <c r="B3" s="2" t="s">
        <v>18</v>
      </c>
      <c r="C3" s="2" t="s">
        <v>19</v>
      </c>
      <c r="D3" s="4">
        <v>36898.0</v>
      </c>
      <c r="E3" s="2" t="s">
        <v>15</v>
      </c>
      <c r="F3" s="2" t="s">
        <v>16</v>
      </c>
      <c r="G3" s="2">
        <v>4.0</v>
      </c>
      <c r="H3" s="2" t="s">
        <v>17</v>
      </c>
      <c r="I3" s="5">
        <v>105000.0</v>
      </c>
      <c r="J3" s="6">
        <f t="shared" si="1"/>
        <v>420000</v>
      </c>
      <c r="K3" s="7" t="str">
        <f t="shared" si="2"/>
        <v>belum</v>
      </c>
      <c r="L3" s="7">
        <f t="shared" si="3"/>
        <v>0</v>
      </c>
      <c r="M3" s="6">
        <f t="shared" si="4"/>
        <v>420000</v>
      </c>
    </row>
    <row r="4">
      <c r="A4" s="2">
        <v>3.0</v>
      </c>
      <c r="B4" s="2" t="s">
        <v>20</v>
      </c>
      <c r="C4" s="2" t="s">
        <v>21</v>
      </c>
      <c r="D4" s="4">
        <v>36898.0</v>
      </c>
      <c r="E4" s="2" t="s">
        <v>15</v>
      </c>
      <c r="F4" s="2" t="s">
        <v>16</v>
      </c>
      <c r="G4" s="2">
        <v>4.0</v>
      </c>
      <c r="H4" s="2" t="s">
        <v>17</v>
      </c>
      <c r="I4" s="5">
        <v>430000.0</v>
      </c>
      <c r="J4" s="6">
        <f t="shared" si="1"/>
        <v>1720000</v>
      </c>
      <c r="K4" s="7" t="str">
        <f t="shared" si="2"/>
        <v>belum</v>
      </c>
      <c r="L4" s="7">
        <f t="shared" si="3"/>
        <v>0</v>
      </c>
      <c r="M4" s="6">
        <f t="shared" si="4"/>
        <v>1720000</v>
      </c>
    </row>
    <row r="5">
      <c r="A5" s="2">
        <v>4.0</v>
      </c>
      <c r="B5" s="2" t="s">
        <v>22</v>
      </c>
      <c r="C5" s="2" t="s">
        <v>23</v>
      </c>
      <c r="D5" s="4">
        <v>36898.0</v>
      </c>
      <c r="E5" s="2" t="s">
        <v>15</v>
      </c>
      <c r="F5" s="2" t="s">
        <v>16</v>
      </c>
      <c r="G5" s="2">
        <v>4.0</v>
      </c>
      <c r="H5" s="2" t="s">
        <v>17</v>
      </c>
      <c r="I5" s="5">
        <v>105000.0</v>
      </c>
      <c r="J5" s="6">
        <f t="shared" si="1"/>
        <v>420000</v>
      </c>
      <c r="K5" s="7" t="str">
        <f t="shared" si="2"/>
        <v>belum</v>
      </c>
      <c r="L5" s="7">
        <f t="shared" si="3"/>
        <v>0</v>
      </c>
      <c r="M5" s="6">
        <f t="shared" si="4"/>
        <v>420000</v>
      </c>
    </row>
    <row r="6">
      <c r="A6" s="2">
        <v>5.0</v>
      </c>
      <c r="B6" s="2" t="s">
        <v>13</v>
      </c>
      <c r="C6" s="2" t="s">
        <v>14</v>
      </c>
      <c r="D6" s="4">
        <v>36898.0</v>
      </c>
      <c r="E6" s="2" t="s">
        <v>15</v>
      </c>
      <c r="F6" s="2" t="s">
        <v>24</v>
      </c>
      <c r="G6" s="2">
        <v>10.0</v>
      </c>
      <c r="H6" s="2" t="s">
        <v>17</v>
      </c>
      <c r="I6" s="5">
        <v>170000.0</v>
      </c>
      <c r="J6" s="6">
        <f t="shared" si="1"/>
        <v>1700000</v>
      </c>
      <c r="K6" s="7" t="str">
        <f t="shared" si="2"/>
        <v>belum</v>
      </c>
      <c r="L6" s="7">
        <f t="shared" si="3"/>
        <v>0</v>
      </c>
      <c r="M6" s="6">
        <f t="shared" si="4"/>
        <v>1700000</v>
      </c>
    </row>
    <row r="7">
      <c r="A7" s="2">
        <v>6.0</v>
      </c>
      <c r="B7" s="2" t="s">
        <v>18</v>
      </c>
      <c r="C7" s="2" t="s">
        <v>19</v>
      </c>
      <c r="D7" s="4">
        <v>36898.0</v>
      </c>
      <c r="E7" s="2" t="s">
        <v>15</v>
      </c>
      <c r="F7" s="2" t="s">
        <v>24</v>
      </c>
      <c r="G7" s="2">
        <v>6.0</v>
      </c>
      <c r="H7" s="2" t="s">
        <v>17</v>
      </c>
      <c r="I7" s="5">
        <v>105000.0</v>
      </c>
      <c r="J7" s="6">
        <f t="shared" si="1"/>
        <v>630000</v>
      </c>
      <c r="K7" s="7" t="str">
        <f t="shared" si="2"/>
        <v>belum</v>
      </c>
      <c r="L7" s="7">
        <f t="shared" si="3"/>
        <v>0</v>
      </c>
      <c r="M7" s="6">
        <f t="shared" si="4"/>
        <v>630000</v>
      </c>
    </row>
    <row r="8">
      <c r="A8" s="2">
        <v>7.0</v>
      </c>
      <c r="B8" s="2" t="s">
        <v>20</v>
      </c>
      <c r="C8" s="2" t="s">
        <v>21</v>
      </c>
      <c r="D8" s="4">
        <v>36898.0</v>
      </c>
      <c r="E8" s="2" t="s">
        <v>15</v>
      </c>
      <c r="F8" s="2" t="s">
        <v>24</v>
      </c>
      <c r="G8" s="2">
        <v>6.0</v>
      </c>
      <c r="H8" s="2" t="s">
        <v>17</v>
      </c>
      <c r="I8" s="5">
        <v>430000.0</v>
      </c>
      <c r="J8" s="6">
        <f t="shared" si="1"/>
        <v>2580000</v>
      </c>
      <c r="K8" s="7" t="str">
        <f t="shared" si="2"/>
        <v>belum</v>
      </c>
      <c r="L8" s="7">
        <f t="shared" si="3"/>
        <v>0</v>
      </c>
      <c r="M8" s="6">
        <f t="shared" si="4"/>
        <v>2580000</v>
      </c>
    </row>
    <row r="9">
      <c r="A9" s="2">
        <v>8.0</v>
      </c>
      <c r="B9" s="2" t="s">
        <v>22</v>
      </c>
      <c r="C9" s="2" t="s">
        <v>23</v>
      </c>
      <c r="D9" s="4">
        <v>36898.0</v>
      </c>
      <c r="E9" s="2" t="s">
        <v>15</v>
      </c>
      <c r="F9" s="2" t="s">
        <v>24</v>
      </c>
      <c r="G9" s="2">
        <v>6.0</v>
      </c>
      <c r="H9" s="2" t="s">
        <v>17</v>
      </c>
      <c r="I9" s="5">
        <v>105000.0</v>
      </c>
      <c r="J9" s="6">
        <f t="shared" si="1"/>
        <v>630000</v>
      </c>
      <c r="K9" s="7" t="str">
        <f t="shared" si="2"/>
        <v>belum</v>
      </c>
      <c r="L9" s="7">
        <f t="shared" si="3"/>
        <v>0</v>
      </c>
      <c r="M9" s="6">
        <f t="shared" si="4"/>
        <v>630000</v>
      </c>
    </row>
    <row r="10">
      <c r="A10" s="2">
        <v>9.0</v>
      </c>
      <c r="B10" s="2" t="s">
        <v>13</v>
      </c>
      <c r="C10" s="2" t="s">
        <v>14</v>
      </c>
      <c r="D10" s="4">
        <v>36898.0</v>
      </c>
      <c r="E10" s="2" t="s">
        <v>15</v>
      </c>
      <c r="F10" s="2" t="s">
        <v>25</v>
      </c>
      <c r="G10" s="2">
        <v>4.0</v>
      </c>
      <c r="H10" s="2" t="s">
        <v>17</v>
      </c>
      <c r="I10" s="5">
        <v>170000.0</v>
      </c>
      <c r="J10" s="6">
        <f t="shared" si="1"/>
        <v>680000</v>
      </c>
      <c r="K10" s="7" t="str">
        <f t="shared" si="2"/>
        <v>belum</v>
      </c>
      <c r="L10" s="7">
        <f t="shared" si="3"/>
        <v>0</v>
      </c>
      <c r="M10" s="6">
        <f t="shared" si="4"/>
        <v>680000</v>
      </c>
    </row>
    <row r="11">
      <c r="A11" s="2">
        <v>10.0</v>
      </c>
      <c r="B11" s="2" t="s">
        <v>22</v>
      </c>
      <c r="C11" s="2" t="s">
        <v>23</v>
      </c>
      <c r="D11" s="4">
        <v>36898.0</v>
      </c>
      <c r="E11" s="2" t="s">
        <v>15</v>
      </c>
      <c r="F11" s="2" t="s">
        <v>25</v>
      </c>
      <c r="G11" s="2">
        <v>2.0</v>
      </c>
      <c r="H11" s="2" t="s">
        <v>17</v>
      </c>
      <c r="I11" s="5">
        <v>105000.0</v>
      </c>
      <c r="J11" s="6">
        <f t="shared" si="1"/>
        <v>210000</v>
      </c>
      <c r="K11" s="7" t="str">
        <f t="shared" si="2"/>
        <v>belum</v>
      </c>
      <c r="L11" s="7">
        <f t="shared" si="3"/>
        <v>0</v>
      </c>
      <c r="M11" s="6">
        <f t="shared" si="4"/>
        <v>210000</v>
      </c>
    </row>
    <row r="12">
      <c r="A12" s="2">
        <v>11.0</v>
      </c>
      <c r="B12" s="2" t="s">
        <v>26</v>
      </c>
      <c r="C12" s="2" t="s">
        <v>27</v>
      </c>
      <c r="D12" s="4">
        <v>36898.0</v>
      </c>
      <c r="E12" s="2" t="s">
        <v>28</v>
      </c>
      <c r="F12" s="2" t="s">
        <v>29</v>
      </c>
      <c r="G12" s="2">
        <v>1.0</v>
      </c>
      <c r="H12" s="2" t="s">
        <v>30</v>
      </c>
      <c r="I12" s="5">
        <v>1.097104E9</v>
      </c>
      <c r="J12" s="6">
        <f t="shared" si="1"/>
        <v>1097104000</v>
      </c>
      <c r="K12" s="7" t="str">
        <f t="shared" si="2"/>
        <v>belum</v>
      </c>
      <c r="L12" s="7">
        <f t="shared" si="3"/>
        <v>0</v>
      </c>
      <c r="M12" s="6">
        <f t="shared" si="4"/>
        <v>1097104000</v>
      </c>
    </row>
    <row r="13">
      <c r="A13" s="2">
        <v>12.0</v>
      </c>
      <c r="B13" s="2" t="s">
        <v>31</v>
      </c>
      <c r="C13" s="2" t="s">
        <v>32</v>
      </c>
      <c r="D13" s="4">
        <v>36898.0</v>
      </c>
      <c r="E13" s="2" t="s">
        <v>28</v>
      </c>
      <c r="F13" s="2" t="s">
        <v>29</v>
      </c>
      <c r="G13" s="2">
        <v>1.0</v>
      </c>
      <c r="H13" s="2" t="s">
        <v>30</v>
      </c>
      <c r="I13" s="5">
        <v>8.5285E7</v>
      </c>
      <c r="J13" s="6">
        <f t="shared" si="1"/>
        <v>85285000</v>
      </c>
      <c r="K13" s="7" t="str">
        <f t="shared" si="2"/>
        <v>belum</v>
      </c>
      <c r="L13" s="7">
        <f t="shared" si="3"/>
        <v>0</v>
      </c>
      <c r="M13" s="6">
        <f t="shared" si="4"/>
        <v>85285000</v>
      </c>
    </row>
    <row r="14">
      <c r="A14" s="2">
        <v>13.0</v>
      </c>
      <c r="B14" s="2" t="s">
        <v>33</v>
      </c>
      <c r="C14" s="2" t="s">
        <v>34</v>
      </c>
      <c r="D14" s="4">
        <v>36898.0</v>
      </c>
      <c r="E14" s="2" t="s">
        <v>28</v>
      </c>
      <c r="F14" s="2" t="s">
        <v>29</v>
      </c>
      <c r="G14" s="2">
        <v>1.0</v>
      </c>
      <c r="H14" s="2" t="s">
        <v>30</v>
      </c>
      <c r="I14" s="5">
        <v>1.42833E8</v>
      </c>
      <c r="J14" s="6">
        <f t="shared" si="1"/>
        <v>142833000</v>
      </c>
      <c r="K14" s="7" t="str">
        <f t="shared" si="2"/>
        <v>belum</v>
      </c>
      <c r="L14" s="7">
        <f t="shared" si="3"/>
        <v>0</v>
      </c>
      <c r="M14" s="6">
        <f t="shared" si="4"/>
        <v>142833000</v>
      </c>
    </row>
    <row r="15">
      <c r="A15" s="2">
        <v>14.0</v>
      </c>
      <c r="B15" s="2" t="s">
        <v>35</v>
      </c>
      <c r="C15" s="2" t="s">
        <v>36</v>
      </c>
      <c r="D15" s="4">
        <v>36898.0</v>
      </c>
      <c r="E15" s="2" t="s">
        <v>28</v>
      </c>
      <c r="F15" s="2" t="s">
        <v>29</v>
      </c>
      <c r="G15" s="2">
        <v>1.0</v>
      </c>
      <c r="H15" s="2" t="s">
        <v>30</v>
      </c>
      <c r="I15" s="5">
        <v>1.194E7</v>
      </c>
      <c r="J15" s="6">
        <f t="shared" si="1"/>
        <v>11940000</v>
      </c>
      <c r="K15" s="7" t="str">
        <f t="shared" si="2"/>
        <v>belum</v>
      </c>
      <c r="L15" s="7">
        <f t="shared" si="3"/>
        <v>0</v>
      </c>
      <c r="M15" s="6">
        <f t="shared" si="4"/>
        <v>11940000</v>
      </c>
    </row>
    <row r="16">
      <c r="A16" s="2">
        <v>15.0</v>
      </c>
      <c r="B16" s="2" t="s">
        <v>37</v>
      </c>
      <c r="C16" s="2" t="s">
        <v>38</v>
      </c>
      <c r="D16" s="4">
        <v>36898.0</v>
      </c>
      <c r="E16" s="2" t="s">
        <v>28</v>
      </c>
      <c r="F16" s="2" t="s">
        <v>29</v>
      </c>
      <c r="G16" s="2">
        <v>1.0</v>
      </c>
      <c r="H16" s="2" t="s">
        <v>30</v>
      </c>
      <c r="I16" s="5">
        <v>8.7024E7</v>
      </c>
      <c r="J16" s="6">
        <f t="shared" si="1"/>
        <v>87024000</v>
      </c>
      <c r="K16" s="7" t="str">
        <f t="shared" si="2"/>
        <v>belum</v>
      </c>
      <c r="L16" s="7">
        <f t="shared" si="3"/>
        <v>0</v>
      </c>
      <c r="M16" s="6">
        <f t="shared" si="4"/>
        <v>87024000</v>
      </c>
    </row>
    <row r="17">
      <c r="A17" s="2">
        <v>16.0</v>
      </c>
      <c r="B17" s="2" t="s">
        <v>39</v>
      </c>
      <c r="C17" s="2" t="s">
        <v>40</v>
      </c>
      <c r="D17" s="4">
        <v>36898.0</v>
      </c>
      <c r="E17" s="2" t="s">
        <v>28</v>
      </c>
      <c r="F17" s="2" t="s">
        <v>29</v>
      </c>
      <c r="G17" s="2">
        <v>1.0</v>
      </c>
      <c r="H17" s="2" t="s">
        <v>30</v>
      </c>
      <c r="I17" s="5">
        <v>5145000.0</v>
      </c>
      <c r="J17" s="6">
        <f t="shared" si="1"/>
        <v>5145000</v>
      </c>
      <c r="K17" s="7" t="str">
        <f t="shared" si="2"/>
        <v>belum</v>
      </c>
      <c r="L17" s="7">
        <f t="shared" si="3"/>
        <v>0</v>
      </c>
      <c r="M17" s="6">
        <f t="shared" si="4"/>
        <v>5145000</v>
      </c>
    </row>
    <row r="18">
      <c r="A18" s="2">
        <v>17.0</v>
      </c>
      <c r="B18" s="2" t="s">
        <v>41</v>
      </c>
      <c r="C18" s="2" t="s">
        <v>42</v>
      </c>
      <c r="D18" s="4">
        <v>36898.0</v>
      </c>
      <c r="E18" s="2" t="s">
        <v>28</v>
      </c>
      <c r="F18" s="2" t="s">
        <v>29</v>
      </c>
      <c r="G18" s="2">
        <v>1.0</v>
      </c>
      <c r="H18" s="2" t="s">
        <v>30</v>
      </c>
      <c r="I18" s="5">
        <v>2.4329E7</v>
      </c>
      <c r="J18" s="6">
        <f t="shared" si="1"/>
        <v>24329000</v>
      </c>
      <c r="K18" s="7" t="str">
        <f t="shared" si="2"/>
        <v>belum</v>
      </c>
      <c r="L18" s="7">
        <f t="shared" si="3"/>
        <v>0</v>
      </c>
      <c r="M18" s="6">
        <f t="shared" si="4"/>
        <v>24329000</v>
      </c>
    </row>
    <row r="19">
      <c r="A19" s="2">
        <v>18.0</v>
      </c>
      <c r="B19" s="2" t="s">
        <v>43</v>
      </c>
      <c r="C19" s="2" t="s">
        <v>44</v>
      </c>
      <c r="D19" s="4">
        <v>36898.0</v>
      </c>
      <c r="E19" s="2" t="s">
        <v>28</v>
      </c>
      <c r="F19" s="2" t="s">
        <v>29</v>
      </c>
      <c r="G19" s="2">
        <v>1.0</v>
      </c>
      <c r="H19" s="2" t="s">
        <v>30</v>
      </c>
      <c r="I19" s="5">
        <v>5292000.0</v>
      </c>
      <c r="J19" s="6">
        <f t="shared" si="1"/>
        <v>5292000</v>
      </c>
      <c r="K19" s="7" t="str">
        <f t="shared" si="2"/>
        <v>belum</v>
      </c>
      <c r="L19" s="7">
        <f t="shared" si="3"/>
        <v>0</v>
      </c>
      <c r="M19" s="6">
        <f t="shared" si="4"/>
        <v>5292000</v>
      </c>
    </row>
    <row r="20">
      <c r="A20" s="2">
        <v>19.0</v>
      </c>
      <c r="B20" s="2" t="s">
        <v>45</v>
      </c>
      <c r="C20" s="2" t="s">
        <v>46</v>
      </c>
      <c r="D20" s="4">
        <v>36898.0</v>
      </c>
      <c r="E20" s="2" t="s">
        <v>28</v>
      </c>
      <c r="F20" s="2" t="s">
        <v>29</v>
      </c>
      <c r="G20" s="2">
        <v>1.0</v>
      </c>
      <c r="H20" s="2" t="s">
        <v>30</v>
      </c>
      <c r="I20" s="5">
        <v>6.494E7</v>
      </c>
      <c r="J20" s="6">
        <f t="shared" si="1"/>
        <v>64940000</v>
      </c>
      <c r="K20" s="7" t="str">
        <f t="shared" si="2"/>
        <v>belum</v>
      </c>
      <c r="L20" s="7">
        <f t="shared" si="3"/>
        <v>0</v>
      </c>
      <c r="M20" s="6">
        <f t="shared" si="4"/>
        <v>64940000</v>
      </c>
    </row>
    <row r="21">
      <c r="A21" s="2">
        <v>20.0</v>
      </c>
      <c r="B21" s="2" t="s">
        <v>47</v>
      </c>
      <c r="C21" s="2" t="s">
        <v>48</v>
      </c>
      <c r="D21" s="4">
        <v>36898.0</v>
      </c>
      <c r="E21" s="2" t="s">
        <v>28</v>
      </c>
      <c r="F21" s="2" t="s">
        <v>29</v>
      </c>
      <c r="G21" s="2">
        <v>1.0</v>
      </c>
      <c r="H21" s="2" t="s">
        <v>30</v>
      </c>
      <c r="I21" s="5">
        <v>8517000.0</v>
      </c>
      <c r="J21" s="6">
        <f t="shared" si="1"/>
        <v>8517000</v>
      </c>
      <c r="K21" s="7" t="str">
        <f t="shared" si="2"/>
        <v>belum</v>
      </c>
      <c r="L21" s="7">
        <f t="shared" si="3"/>
        <v>0</v>
      </c>
      <c r="M21" s="6">
        <f t="shared" si="4"/>
        <v>8517000</v>
      </c>
    </row>
    <row r="22">
      <c r="A22" s="2">
        <v>21.0</v>
      </c>
      <c r="B22" s="2" t="s">
        <v>49</v>
      </c>
      <c r="C22" s="2" t="s">
        <v>50</v>
      </c>
      <c r="D22" s="4">
        <v>36898.0</v>
      </c>
      <c r="E22" s="2" t="s">
        <v>28</v>
      </c>
      <c r="F22" s="2" t="s">
        <v>29</v>
      </c>
      <c r="G22" s="2">
        <v>1.0</v>
      </c>
      <c r="H22" s="2" t="s">
        <v>30</v>
      </c>
      <c r="I22" s="5">
        <v>9900000.0</v>
      </c>
      <c r="J22" s="6">
        <f t="shared" si="1"/>
        <v>9900000</v>
      </c>
      <c r="K22" s="7" t="str">
        <f t="shared" si="2"/>
        <v>belum</v>
      </c>
      <c r="L22" s="7">
        <f t="shared" si="3"/>
        <v>0</v>
      </c>
      <c r="M22" s="6">
        <f t="shared" si="4"/>
        <v>9900000</v>
      </c>
    </row>
    <row r="23">
      <c r="A23" s="2">
        <v>22.0</v>
      </c>
      <c r="B23" s="2" t="s">
        <v>51</v>
      </c>
      <c r="C23" s="2" t="s">
        <v>52</v>
      </c>
      <c r="D23" s="4">
        <v>36898.0</v>
      </c>
      <c r="E23" s="2" t="s">
        <v>28</v>
      </c>
      <c r="F23" s="2" t="s">
        <v>29</v>
      </c>
      <c r="G23" s="2">
        <v>1.0</v>
      </c>
      <c r="H23" s="2" t="s">
        <v>30</v>
      </c>
      <c r="I23" s="5">
        <v>39000.0</v>
      </c>
      <c r="J23" s="6">
        <f t="shared" si="1"/>
        <v>39000</v>
      </c>
      <c r="K23" s="7" t="str">
        <f t="shared" si="2"/>
        <v>belum</v>
      </c>
      <c r="L23" s="7">
        <f t="shared" si="3"/>
        <v>0</v>
      </c>
      <c r="M23" s="6">
        <f t="shared" si="4"/>
        <v>39000</v>
      </c>
    </row>
    <row r="24">
      <c r="A24" s="2">
        <v>23.0</v>
      </c>
      <c r="B24" s="2" t="s">
        <v>53</v>
      </c>
      <c r="C24" s="2" t="s">
        <v>54</v>
      </c>
      <c r="D24" s="4">
        <v>36898.0</v>
      </c>
      <c r="E24" s="2" t="s">
        <v>28</v>
      </c>
      <c r="F24" s="2" t="s">
        <v>29</v>
      </c>
      <c r="G24" s="2">
        <v>1.0</v>
      </c>
      <c r="H24" s="2" t="s">
        <v>30</v>
      </c>
      <c r="I24" s="5">
        <v>5000.0</v>
      </c>
      <c r="J24" s="6">
        <f t="shared" si="1"/>
        <v>5000</v>
      </c>
      <c r="K24" s="7" t="str">
        <f t="shared" si="2"/>
        <v>belum</v>
      </c>
      <c r="L24" s="7">
        <f t="shared" si="3"/>
        <v>0</v>
      </c>
      <c r="M24" s="6">
        <f t="shared" si="4"/>
        <v>5000</v>
      </c>
    </row>
    <row r="25">
      <c r="A25" s="2">
        <v>24.0</v>
      </c>
      <c r="B25" s="2" t="s">
        <v>55</v>
      </c>
      <c r="C25" s="2" t="s">
        <v>56</v>
      </c>
      <c r="D25" s="4">
        <v>36898.0</v>
      </c>
      <c r="E25" s="2" t="s">
        <v>28</v>
      </c>
      <c r="F25" s="2" t="s">
        <v>29</v>
      </c>
      <c r="G25" s="2">
        <v>1.0</v>
      </c>
      <c r="H25" s="2" t="s">
        <v>30</v>
      </c>
      <c r="I25" s="8">
        <v>1.15E8</v>
      </c>
      <c r="J25" s="6">
        <f t="shared" si="1"/>
        <v>115000000</v>
      </c>
      <c r="K25" s="7" t="str">
        <f t="shared" si="2"/>
        <v>belum</v>
      </c>
      <c r="L25" s="7">
        <f t="shared" si="3"/>
        <v>0</v>
      </c>
      <c r="M25" s="6">
        <f t="shared" si="4"/>
        <v>115000000</v>
      </c>
    </row>
    <row r="26">
      <c r="A26" s="2">
        <v>25.0</v>
      </c>
      <c r="B26" s="2" t="s">
        <v>57</v>
      </c>
      <c r="C26" s="2" t="s">
        <v>58</v>
      </c>
      <c r="D26" s="4">
        <v>36898.0</v>
      </c>
      <c r="E26" s="2" t="s">
        <v>28</v>
      </c>
      <c r="F26" s="2" t="s">
        <v>29</v>
      </c>
      <c r="G26" s="2">
        <v>1.0</v>
      </c>
      <c r="H26" s="2" t="s">
        <v>30</v>
      </c>
      <c r="I26" s="8">
        <v>1.2E7</v>
      </c>
      <c r="J26" s="6">
        <f t="shared" si="1"/>
        <v>12000000</v>
      </c>
      <c r="K26" s="7" t="str">
        <f t="shared" si="2"/>
        <v>belum</v>
      </c>
      <c r="L26" s="7">
        <f t="shared" si="3"/>
        <v>0</v>
      </c>
      <c r="M26" s="6">
        <f t="shared" si="4"/>
        <v>12000000</v>
      </c>
    </row>
    <row r="27">
      <c r="A27" s="2">
        <v>26.0</v>
      </c>
      <c r="B27" s="2" t="s">
        <v>59</v>
      </c>
      <c r="C27" s="2" t="s">
        <v>60</v>
      </c>
      <c r="D27" s="4">
        <v>36898.0</v>
      </c>
      <c r="E27" s="2" t="s">
        <v>28</v>
      </c>
      <c r="F27" s="2" t="s">
        <v>29</v>
      </c>
      <c r="G27" s="2">
        <v>1.0</v>
      </c>
      <c r="H27" s="2" t="s">
        <v>30</v>
      </c>
      <c r="I27" s="5">
        <v>9.31984E8</v>
      </c>
      <c r="J27" s="6">
        <f t="shared" si="1"/>
        <v>931984000</v>
      </c>
      <c r="K27" s="7" t="str">
        <f t="shared" si="2"/>
        <v>belum</v>
      </c>
      <c r="L27" s="7">
        <f t="shared" si="3"/>
        <v>0</v>
      </c>
      <c r="M27" s="6">
        <f t="shared" si="4"/>
        <v>931984000</v>
      </c>
    </row>
    <row r="28">
      <c r="A28" s="2">
        <v>27.0</v>
      </c>
      <c r="B28" s="2" t="s">
        <v>61</v>
      </c>
      <c r="C28" s="2" t="s">
        <v>62</v>
      </c>
      <c r="D28" s="4">
        <v>36898.0</v>
      </c>
      <c r="E28" s="2" t="s">
        <v>28</v>
      </c>
      <c r="F28" s="2" t="s">
        <v>29</v>
      </c>
      <c r="G28" s="2">
        <v>1.0</v>
      </c>
      <c r="H28" s="2" t="s">
        <v>30</v>
      </c>
      <c r="I28" s="5">
        <v>4.437E7</v>
      </c>
      <c r="J28" s="6">
        <f t="shared" si="1"/>
        <v>44370000</v>
      </c>
      <c r="K28" s="7" t="str">
        <f t="shared" si="2"/>
        <v>belum</v>
      </c>
      <c r="L28" s="7">
        <f t="shared" si="3"/>
        <v>0</v>
      </c>
      <c r="M28" s="6">
        <f t="shared" si="4"/>
        <v>44370000</v>
      </c>
    </row>
    <row r="29">
      <c r="A29" s="2">
        <v>28.0</v>
      </c>
      <c r="B29" s="2" t="s">
        <v>63</v>
      </c>
      <c r="C29" s="2" t="s">
        <v>64</v>
      </c>
      <c r="D29" s="4">
        <v>36898.0</v>
      </c>
      <c r="E29" s="2" t="s">
        <v>28</v>
      </c>
      <c r="F29" s="2" t="s">
        <v>29</v>
      </c>
      <c r="G29" s="2">
        <v>1.0</v>
      </c>
      <c r="H29" s="2" t="s">
        <v>30</v>
      </c>
      <c r="I29" s="5">
        <v>3.35556E8</v>
      </c>
      <c r="J29" s="6">
        <f t="shared" si="1"/>
        <v>335556000</v>
      </c>
      <c r="K29" s="7" t="str">
        <f t="shared" si="2"/>
        <v>belum</v>
      </c>
      <c r="L29" s="7">
        <f t="shared" si="3"/>
        <v>0</v>
      </c>
      <c r="M29" s="6">
        <f t="shared" si="4"/>
        <v>335556000</v>
      </c>
    </row>
    <row r="30">
      <c r="A30" s="2">
        <v>29.0</v>
      </c>
      <c r="B30" s="2" t="s">
        <v>65</v>
      </c>
      <c r="C30" s="2" t="s">
        <v>66</v>
      </c>
      <c r="D30" s="4">
        <v>36898.0</v>
      </c>
      <c r="E30" s="2" t="s">
        <v>28</v>
      </c>
      <c r="F30" s="2" t="s">
        <v>29</v>
      </c>
      <c r="G30" s="2">
        <v>1.0</v>
      </c>
      <c r="H30" s="2" t="s">
        <v>30</v>
      </c>
      <c r="I30" s="5">
        <v>7.60536E8</v>
      </c>
      <c r="J30" s="6">
        <f t="shared" si="1"/>
        <v>760536000</v>
      </c>
      <c r="K30" s="7" t="str">
        <f t="shared" si="2"/>
        <v>belum</v>
      </c>
      <c r="L30" s="7">
        <f t="shared" si="3"/>
        <v>0</v>
      </c>
      <c r="M30" s="6">
        <f t="shared" si="4"/>
        <v>760536000</v>
      </c>
    </row>
    <row r="31">
      <c r="A31" s="2">
        <v>30.0</v>
      </c>
      <c r="B31" s="2" t="s">
        <v>67</v>
      </c>
      <c r="C31" s="2" t="s">
        <v>68</v>
      </c>
      <c r="D31" s="4">
        <v>36898.0</v>
      </c>
      <c r="E31" s="2" t="s">
        <v>28</v>
      </c>
      <c r="F31" s="2" t="s">
        <v>29</v>
      </c>
      <c r="G31" s="2">
        <v>1.0</v>
      </c>
      <c r="H31" s="2" t="s">
        <v>30</v>
      </c>
      <c r="I31" s="5">
        <v>1.449E7</v>
      </c>
      <c r="J31" s="6">
        <f t="shared" si="1"/>
        <v>14490000</v>
      </c>
      <c r="K31" s="7" t="str">
        <f t="shared" si="2"/>
        <v>belum</v>
      </c>
      <c r="L31" s="7">
        <f t="shared" si="3"/>
        <v>0</v>
      </c>
      <c r="M31" s="6">
        <f t="shared" si="4"/>
        <v>14490000</v>
      </c>
    </row>
    <row r="32">
      <c r="A32" s="2">
        <v>31.0</v>
      </c>
      <c r="B32" s="2" t="s">
        <v>13</v>
      </c>
      <c r="C32" s="2" t="s">
        <v>14</v>
      </c>
      <c r="D32" s="4">
        <v>36898.0</v>
      </c>
      <c r="E32" s="2" t="s">
        <v>69</v>
      </c>
      <c r="F32" s="2" t="s">
        <v>70</v>
      </c>
      <c r="G32" s="2">
        <v>4.0</v>
      </c>
      <c r="H32" s="2" t="s">
        <v>17</v>
      </c>
      <c r="I32" s="5">
        <v>170000.0</v>
      </c>
      <c r="J32" s="6">
        <f t="shared" si="1"/>
        <v>680000</v>
      </c>
      <c r="K32" s="7" t="str">
        <f t="shared" si="2"/>
        <v>belum</v>
      </c>
      <c r="L32" s="7">
        <f t="shared" si="3"/>
        <v>0</v>
      </c>
      <c r="M32" s="6">
        <f t="shared" si="4"/>
        <v>680000</v>
      </c>
    </row>
    <row r="33">
      <c r="A33" s="2">
        <v>32.0</v>
      </c>
      <c r="B33" s="2" t="s">
        <v>22</v>
      </c>
      <c r="C33" s="2" t="s">
        <v>23</v>
      </c>
      <c r="D33" s="4">
        <v>36898.0</v>
      </c>
      <c r="E33" s="2" t="s">
        <v>69</v>
      </c>
      <c r="F33" s="2" t="s">
        <v>70</v>
      </c>
      <c r="G33" s="2">
        <v>2.0</v>
      </c>
      <c r="H33" s="2" t="s">
        <v>17</v>
      </c>
      <c r="I33" s="5">
        <v>105000.0</v>
      </c>
      <c r="J33" s="6">
        <f t="shared" si="1"/>
        <v>210000</v>
      </c>
      <c r="K33" s="7" t="str">
        <f t="shared" si="2"/>
        <v>belum</v>
      </c>
      <c r="L33" s="7">
        <f t="shared" si="3"/>
        <v>0</v>
      </c>
      <c r="M33" s="6">
        <f t="shared" si="4"/>
        <v>210000</v>
      </c>
    </row>
    <row r="34">
      <c r="A34" s="2">
        <v>33.0</v>
      </c>
      <c r="B34" s="2" t="s">
        <v>71</v>
      </c>
      <c r="C34" s="2" t="s">
        <v>72</v>
      </c>
      <c r="D34" s="4">
        <v>36898.0</v>
      </c>
      <c r="E34" s="2" t="s">
        <v>73</v>
      </c>
      <c r="F34" s="2" t="s">
        <v>74</v>
      </c>
      <c r="G34" s="2">
        <v>30.0</v>
      </c>
      <c r="H34" s="2" t="s">
        <v>75</v>
      </c>
      <c r="I34" s="5">
        <v>21000.0</v>
      </c>
      <c r="J34" s="6">
        <f t="shared" si="1"/>
        <v>630000</v>
      </c>
      <c r="K34" s="7">
        <f t="shared" si="2"/>
        <v>30</v>
      </c>
      <c r="L34" s="7">
        <f t="shared" si="3"/>
        <v>630000</v>
      </c>
      <c r="M34" s="6">
        <f t="shared" si="4"/>
        <v>0</v>
      </c>
    </row>
    <row r="35">
      <c r="A35" s="2">
        <v>34.0</v>
      </c>
      <c r="B35" s="2" t="s">
        <v>71</v>
      </c>
      <c r="C35" s="2" t="s">
        <v>76</v>
      </c>
      <c r="D35" s="4">
        <v>36898.0</v>
      </c>
      <c r="E35" s="2" t="s">
        <v>73</v>
      </c>
      <c r="F35" s="2" t="s">
        <v>74</v>
      </c>
      <c r="G35" s="2">
        <v>30.0</v>
      </c>
      <c r="H35" s="2" t="s">
        <v>75</v>
      </c>
      <c r="I35" s="5">
        <v>50000.0</v>
      </c>
      <c r="J35" s="6">
        <f t="shared" si="1"/>
        <v>1500000</v>
      </c>
      <c r="K35" s="7" t="str">
        <f t="shared" si="2"/>
        <v>belum</v>
      </c>
      <c r="L35" s="7">
        <f t="shared" si="3"/>
        <v>0</v>
      </c>
      <c r="M35" s="6">
        <f t="shared" si="4"/>
        <v>1500000</v>
      </c>
    </row>
    <row r="36">
      <c r="A36" s="2">
        <v>35.0</v>
      </c>
      <c r="B36" s="2" t="s">
        <v>77</v>
      </c>
      <c r="C36" s="2" t="s">
        <v>78</v>
      </c>
      <c r="D36" s="4">
        <v>36898.0</v>
      </c>
      <c r="E36" s="2" t="s">
        <v>79</v>
      </c>
      <c r="F36" s="2" t="s">
        <v>80</v>
      </c>
      <c r="G36" s="2">
        <v>30.0</v>
      </c>
      <c r="H36" s="2" t="s">
        <v>81</v>
      </c>
      <c r="I36" s="5">
        <v>6300.0</v>
      </c>
      <c r="J36" s="6">
        <f t="shared" si="1"/>
        <v>189000</v>
      </c>
      <c r="K36" s="7" t="str">
        <f t="shared" si="2"/>
        <v>belum</v>
      </c>
      <c r="L36" s="7">
        <f t="shared" si="3"/>
        <v>0</v>
      </c>
      <c r="M36" s="6">
        <f t="shared" si="4"/>
        <v>189000</v>
      </c>
    </row>
    <row r="37">
      <c r="A37" s="2">
        <v>36.0</v>
      </c>
      <c r="B37" s="2" t="s">
        <v>77</v>
      </c>
      <c r="C37" s="2" t="s">
        <v>82</v>
      </c>
      <c r="D37" s="4">
        <v>36898.0</v>
      </c>
      <c r="E37" s="2" t="s">
        <v>79</v>
      </c>
      <c r="F37" s="2" t="s">
        <v>80</v>
      </c>
      <c r="G37" s="2">
        <v>10.0</v>
      </c>
      <c r="H37" s="2" t="s">
        <v>81</v>
      </c>
      <c r="I37" s="5">
        <v>5400.0</v>
      </c>
      <c r="J37" s="6">
        <f t="shared" si="1"/>
        <v>54000</v>
      </c>
      <c r="K37" s="7" t="str">
        <f t="shared" si="2"/>
        <v>belum</v>
      </c>
      <c r="L37" s="7">
        <f t="shared" si="3"/>
        <v>0</v>
      </c>
      <c r="M37" s="6">
        <f t="shared" si="4"/>
        <v>54000</v>
      </c>
    </row>
    <row r="38">
      <c r="A38" s="2">
        <v>37.0</v>
      </c>
      <c r="B38" s="2" t="s">
        <v>77</v>
      </c>
      <c r="C38" s="2" t="s">
        <v>83</v>
      </c>
      <c r="D38" s="4">
        <v>36898.0</v>
      </c>
      <c r="E38" s="2" t="s">
        <v>79</v>
      </c>
      <c r="F38" s="2" t="s">
        <v>80</v>
      </c>
      <c r="G38" s="2">
        <v>20.0</v>
      </c>
      <c r="H38" s="2" t="s">
        <v>81</v>
      </c>
      <c r="I38" s="5">
        <v>110100.0</v>
      </c>
      <c r="J38" s="6">
        <f t="shared" si="1"/>
        <v>2202000</v>
      </c>
      <c r="K38" s="7" t="str">
        <f t="shared" si="2"/>
        <v>belum</v>
      </c>
      <c r="L38" s="7">
        <f t="shared" si="3"/>
        <v>0</v>
      </c>
      <c r="M38" s="6">
        <f t="shared" si="4"/>
        <v>2202000</v>
      </c>
    </row>
    <row r="39">
      <c r="A39" s="2">
        <v>38.0</v>
      </c>
      <c r="B39" s="2" t="s">
        <v>84</v>
      </c>
      <c r="C39" s="2" t="s">
        <v>85</v>
      </c>
      <c r="D39" s="4">
        <v>36898.0</v>
      </c>
      <c r="E39" s="2" t="s">
        <v>79</v>
      </c>
      <c r="F39" s="2" t="s">
        <v>86</v>
      </c>
      <c r="G39" s="2">
        <v>3.0</v>
      </c>
      <c r="H39" s="2" t="s">
        <v>87</v>
      </c>
      <c r="I39" s="5">
        <v>10700.0</v>
      </c>
      <c r="J39" s="6">
        <f t="shared" si="1"/>
        <v>32100</v>
      </c>
      <c r="K39" s="7" t="str">
        <f t="shared" si="2"/>
        <v>belum</v>
      </c>
      <c r="L39" s="7">
        <f t="shared" si="3"/>
        <v>0</v>
      </c>
      <c r="M39" s="6">
        <f t="shared" si="4"/>
        <v>32100</v>
      </c>
    </row>
    <row r="40">
      <c r="A40" s="2">
        <v>39.0</v>
      </c>
      <c r="B40" s="2" t="s">
        <v>84</v>
      </c>
      <c r="C40" s="2" t="s">
        <v>88</v>
      </c>
      <c r="D40" s="4">
        <v>36898.0</v>
      </c>
      <c r="E40" s="2" t="s">
        <v>79</v>
      </c>
      <c r="F40" s="2" t="s">
        <v>86</v>
      </c>
      <c r="G40" s="2">
        <v>5.0</v>
      </c>
      <c r="H40" s="2" t="s">
        <v>87</v>
      </c>
      <c r="I40" s="5">
        <v>16100.0</v>
      </c>
      <c r="J40" s="6">
        <f t="shared" si="1"/>
        <v>80500</v>
      </c>
      <c r="K40" s="7" t="str">
        <f t="shared" si="2"/>
        <v>belum</v>
      </c>
      <c r="L40" s="7">
        <f t="shared" si="3"/>
        <v>0</v>
      </c>
      <c r="M40" s="6">
        <f t="shared" si="4"/>
        <v>80500</v>
      </c>
    </row>
    <row r="41">
      <c r="A41" s="2">
        <v>40.0</v>
      </c>
      <c r="B41" s="2" t="s">
        <v>84</v>
      </c>
      <c r="C41" s="2" t="s">
        <v>89</v>
      </c>
      <c r="D41" s="4">
        <v>36898.0</v>
      </c>
      <c r="E41" s="2" t="s">
        <v>79</v>
      </c>
      <c r="F41" s="2" t="s">
        <v>86</v>
      </c>
      <c r="G41" s="2">
        <v>6.0</v>
      </c>
      <c r="H41" s="2" t="s">
        <v>81</v>
      </c>
      <c r="I41" s="5">
        <v>17900.0</v>
      </c>
      <c r="J41" s="6">
        <f t="shared" si="1"/>
        <v>107400</v>
      </c>
      <c r="K41" s="7" t="str">
        <f t="shared" si="2"/>
        <v>belum</v>
      </c>
      <c r="L41" s="7">
        <f t="shared" si="3"/>
        <v>0</v>
      </c>
      <c r="M41" s="6">
        <f t="shared" si="4"/>
        <v>107400</v>
      </c>
    </row>
    <row r="42">
      <c r="A42" s="2">
        <v>41.0</v>
      </c>
      <c r="B42" s="2" t="s">
        <v>84</v>
      </c>
      <c r="C42" s="2" t="s">
        <v>90</v>
      </c>
      <c r="D42" s="4">
        <v>36898.0</v>
      </c>
      <c r="E42" s="2" t="s">
        <v>79</v>
      </c>
      <c r="F42" s="2" t="s">
        <v>86</v>
      </c>
      <c r="G42" s="2">
        <v>40.0</v>
      </c>
      <c r="H42" s="2" t="s">
        <v>81</v>
      </c>
      <c r="I42" s="5">
        <v>9500.0</v>
      </c>
      <c r="J42" s="6">
        <f t="shared" si="1"/>
        <v>380000</v>
      </c>
      <c r="K42" s="7" t="str">
        <f t="shared" si="2"/>
        <v>belum</v>
      </c>
      <c r="L42" s="7">
        <f t="shared" si="3"/>
        <v>0</v>
      </c>
      <c r="M42" s="6">
        <f t="shared" si="4"/>
        <v>380000</v>
      </c>
    </row>
    <row r="43">
      <c r="A43" s="2">
        <v>42.0</v>
      </c>
      <c r="B43" s="2" t="s">
        <v>84</v>
      </c>
      <c r="C43" s="2" t="s">
        <v>91</v>
      </c>
      <c r="D43" s="4">
        <v>36898.0</v>
      </c>
      <c r="E43" s="2" t="s">
        <v>79</v>
      </c>
      <c r="F43" s="2" t="s">
        <v>86</v>
      </c>
      <c r="G43" s="2">
        <v>20.0</v>
      </c>
      <c r="H43" s="2" t="s">
        <v>81</v>
      </c>
      <c r="I43" s="5">
        <v>26200.0</v>
      </c>
      <c r="J43" s="6">
        <f t="shared" si="1"/>
        <v>524000</v>
      </c>
      <c r="K43" s="7" t="str">
        <f t="shared" si="2"/>
        <v>belum</v>
      </c>
      <c r="L43" s="7">
        <f t="shared" si="3"/>
        <v>0</v>
      </c>
      <c r="M43" s="6">
        <f t="shared" si="4"/>
        <v>524000</v>
      </c>
    </row>
    <row r="44">
      <c r="A44" s="2">
        <v>43.0</v>
      </c>
      <c r="B44" s="2" t="s">
        <v>84</v>
      </c>
      <c r="C44" s="2" t="s">
        <v>92</v>
      </c>
      <c r="D44" s="4">
        <v>36898.0</v>
      </c>
      <c r="E44" s="2" t="s">
        <v>79</v>
      </c>
      <c r="F44" s="2" t="s">
        <v>86</v>
      </c>
      <c r="G44" s="2">
        <v>4.0</v>
      </c>
      <c r="H44" s="2" t="s">
        <v>81</v>
      </c>
      <c r="I44" s="5">
        <v>24100.0</v>
      </c>
      <c r="J44" s="6">
        <f t="shared" si="1"/>
        <v>96400</v>
      </c>
      <c r="K44" s="7" t="str">
        <f t="shared" si="2"/>
        <v>belum</v>
      </c>
      <c r="L44" s="7">
        <f t="shared" si="3"/>
        <v>0</v>
      </c>
      <c r="M44" s="6">
        <f t="shared" si="4"/>
        <v>96400</v>
      </c>
    </row>
    <row r="45">
      <c r="A45" s="2">
        <v>44.0</v>
      </c>
      <c r="B45" s="2" t="s">
        <v>84</v>
      </c>
      <c r="C45" s="2" t="s">
        <v>93</v>
      </c>
      <c r="D45" s="4">
        <v>36898.0</v>
      </c>
      <c r="E45" s="2" t="s">
        <v>79</v>
      </c>
      <c r="F45" s="2" t="s">
        <v>86</v>
      </c>
      <c r="G45" s="2">
        <v>12.0</v>
      </c>
      <c r="H45" s="2" t="s">
        <v>94</v>
      </c>
      <c r="I45" s="5">
        <v>11600.0</v>
      </c>
      <c r="J45" s="6">
        <f t="shared" si="1"/>
        <v>139200</v>
      </c>
      <c r="K45" s="7" t="str">
        <f t="shared" si="2"/>
        <v>belum</v>
      </c>
      <c r="L45" s="7">
        <f t="shared" si="3"/>
        <v>0</v>
      </c>
      <c r="M45" s="6">
        <f t="shared" si="4"/>
        <v>139200</v>
      </c>
    </row>
    <row r="46">
      <c r="A46" s="2">
        <v>45.0</v>
      </c>
      <c r="B46" s="2" t="s">
        <v>84</v>
      </c>
      <c r="C46" s="2" t="s">
        <v>95</v>
      </c>
      <c r="D46" s="4">
        <v>36898.0</v>
      </c>
      <c r="E46" s="2" t="s">
        <v>79</v>
      </c>
      <c r="F46" s="2" t="s">
        <v>86</v>
      </c>
      <c r="G46" s="2">
        <v>12.0</v>
      </c>
      <c r="H46" s="2" t="s">
        <v>94</v>
      </c>
      <c r="I46" s="5">
        <v>22700.0</v>
      </c>
      <c r="J46" s="6">
        <f t="shared" si="1"/>
        <v>272400</v>
      </c>
      <c r="K46" s="7" t="str">
        <f t="shared" si="2"/>
        <v>belum</v>
      </c>
      <c r="L46" s="7">
        <f t="shared" si="3"/>
        <v>0</v>
      </c>
      <c r="M46" s="6">
        <f t="shared" si="4"/>
        <v>272400</v>
      </c>
    </row>
    <row r="47">
      <c r="A47" s="2">
        <v>46.0</v>
      </c>
      <c r="B47" s="2" t="s">
        <v>84</v>
      </c>
      <c r="C47" s="2" t="s">
        <v>96</v>
      </c>
      <c r="D47" s="4">
        <v>36898.0</v>
      </c>
      <c r="E47" s="2" t="s">
        <v>79</v>
      </c>
      <c r="F47" s="2" t="s">
        <v>86</v>
      </c>
      <c r="G47" s="2">
        <v>15.0</v>
      </c>
      <c r="H47" s="2" t="s">
        <v>81</v>
      </c>
      <c r="I47" s="5">
        <v>4800.0</v>
      </c>
      <c r="J47" s="6">
        <f t="shared" si="1"/>
        <v>72000</v>
      </c>
      <c r="K47" s="7" t="str">
        <f t="shared" si="2"/>
        <v>belum</v>
      </c>
      <c r="L47" s="7">
        <f t="shared" si="3"/>
        <v>0</v>
      </c>
      <c r="M47" s="6">
        <f t="shared" si="4"/>
        <v>72000</v>
      </c>
    </row>
    <row r="48">
      <c r="A48" s="2">
        <v>47.0</v>
      </c>
      <c r="B48" s="2" t="s">
        <v>84</v>
      </c>
      <c r="C48" s="2" t="s">
        <v>97</v>
      </c>
      <c r="D48" s="4">
        <v>36898.0</v>
      </c>
      <c r="E48" s="2" t="s">
        <v>79</v>
      </c>
      <c r="F48" s="2" t="s">
        <v>86</v>
      </c>
      <c r="G48" s="2">
        <v>20.0</v>
      </c>
      <c r="H48" s="2" t="s">
        <v>94</v>
      </c>
      <c r="I48" s="5">
        <v>44000.0</v>
      </c>
      <c r="J48" s="6">
        <f t="shared" si="1"/>
        <v>880000</v>
      </c>
      <c r="K48" s="7" t="str">
        <f t="shared" si="2"/>
        <v>belum</v>
      </c>
      <c r="L48" s="7">
        <f t="shared" si="3"/>
        <v>0</v>
      </c>
      <c r="M48" s="6">
        <f t="shared" si="4"/>
        <v>880000</v>
      </c>
    </row>
    <row r="49">
      <c r="A49" s="2">
        <v>48.0</v>
      </c>
      <c r="B49" s="2" t="s">
        <v>84</v>
      </c>
      <c r="C49" s="2" t="s">
        <v>98</v>
      </c>
      <c r="D49" s="4">
        <v>36898.0</v>
      </c>
      <c r="E49" s="2" t="s">
        <v>79</v>
      </c>
      <c r="F49" s="2" t="s">
        <v>86</v>
      </c>
      <c r="G49" s="2">
        <v>3.0</v>
      </c>
      <c r="H49" s="2" t="s">
        <v>99</v>
      </c>
      <c r="I49" s="5">
        <v>287000.0</v>
      </c>
      <c r="J49" s="6">
        <f t="shared" si="1"/>
        <v>861000</v>
      </c>
      <c r="K49" s="7" t="str">
        <f t="shared" si="2"/>
        <v>belum</v>
      </c>
      <c r="L49" s="7">
        <f t="shared" si="3"/>
        <v>0</v>
      </c>
      <c r="M49" s="6">
        <f t="shared" si="4"/>
        <v>861000</v>
      </c>
    </row>
    <row r="50">
      <c r="A50" s="2">
        <v>49.0</v>
      </c>
      <c r="B50" s="2" t="s">
        <v>84</v>
      </c>
      <c r="C50" s="2" t="s">
        <v>100</v>
      </c>
      <c r="D50" s="4">
        <v>36898.0</v>
      </c>
      <c r="E50" s="2" t="s">
        <v>79</v>
      </c>
      <c r="F50" s="2" t="s">
        <v>86</v>
      </c>
      <c r="G50" s="2">
        <v>2.0</v>
      </c>
      <c r="H50" s="2" t="s">
        <v>101</v>
      </c>
      <c r="I50" s="5">
        <v>101200.0</v>
      </c>
      <c r="J50" s="6">
        <f t="shared" si="1"/>
        <v>202400</v>
      </c>
      <c r="K50" s="7" t="str">
        <f t="shared" si="2"/>
        <v>belum</v>
      </c>
      <c r="L50" s="7">
        <f t="shared" si="3"/>
        <v>0</v>
      </c>
      <c r="M50" s="6">
        <f t="shared" si="4"/>
        <v>202400</v>
      </c>
    </row>
    <row r="51">
      <c r="A51" s="2">
        <v>50.0</v>
      </c>
      <c r="B51" s="2" t="s">
        <v>84</v>
      </c>
      <c r="C51" s="2" t="s">
        <v>102</v>
      </c>
      <c r="D51" s="4">
        <v>36898.0</v>
      </c>
      <c r="E51" s="2" t="s">
        <v>79</v>
      </c>
      <c r="F51" s="2" t="s">
        <v>86</v>
      </c>
      <c r="G51" s="2">
        <v>1.0</v>
      </c>
      <c r="H51" s="2" t="s">
        <v>94</v>
      </c>
      <c r="I51" s="5">
        <v>529600.0</v>
      </c>
      <c r="J51" s="6">
        <f t="shared" si="1"/>
        <v>529600</v>
      </c>
      <c r="K51" s="7" t="str">
        <f t="shared" si="2"/>
        <v>belum</v>
      </c>
      <c r="L51" s="7">
        <f t="shared" si="3"/>
        <v>0</v>
      </c>
      <c r="M51" s="6">
        <f t="shared" si="4"/>
        <v>529600</v>
      </c>
    </row>
    <row r="52">
      <c r="A52" s="2">
        <v>51.0</v>
      </c>
      <c r="B52" s="2" t="s">
        <v>103</v>
      </c>
      <c r="C52" s="2" t="s">
        <v>104</v>
      </c>
      <c r="D52" s="4">
        <v>36898.0</v>
      </c>
      <c r="E52" s="2" t="s">
        <v>79</v>
      </c>
      <c r="F52" s="2" t="s">
        <v>86</v>
      </c>
      <c r="G52" s="2">
        <v>25.0</v>
      </c>
      <c r="H52" s="2" t="s">
        <v>105</v>
      </c>
      <c r="I52" s="5">
        <v>88100.0</v>
      </c>
      <c r="J52" s="6">
        <f t="shared" si="1"/>
        <v>2202500</v>
      </c>
      <c r="K52" s="7" t="str">
        <f t="shared" si="2"/>
        <v>belum</v>
      </c>
      <c r="L52" s="7">
        <f t="shared" si="3"/>
        <v>0</v>
      </c>
      <c r="M52" s="6">
        <f t="shared" si="4"/>
        <v>2202500</v>
      </c>
    </row>
    <row r="53">
      <c r="A53" s="2">
        <v>52.0</v>
      </c>
      <c r="B53" s="2" t="s">
        <v>103</v>
      </c>
      <c r="C53" s="2" t="s">
        <v>106</v>
      </c>
      <c r="D53" s="4">
        <v>36898.0</v>
      </c>
      <c r="E53" s="2" t="s">
        <v>79</v>
      </c>
      <c r="F53" s="2" t="s">
        <v>86</v>
      </c>
      <c r="G53" s="2">
        <v>20.0</v>
      </c>
      <c r="H53" s="2" t="s">
        <v>105</v>
      </c>
      <c r="I53" s="5">
        <v>68400.0</v>
      </c>
      <c r="J53" s="6">
        <f t="shared" si="1"/>
        <v>1368000</v>
      </c>
      <c r="K53" s="7" t="str">
        <f t="shared" si="2"/>
        <v>belum</v>
      </c>
      <c r="L53" s="7">
        <f t="shared" si="3"/>
        <v>0</v>
      </c>
      <c r="M53" s="6">
        <f t="shared" si="4"/>
        <v>1368000</v>
      </c>
    </row>
    <row r="54">
      <c r="A54" s="2">
        <v>53.0</v>
      </c>
      <c r="B54" s="2" t="s">
        <v>103</v>
      </c>
      <c r="C54" s="2" t="s">
        <v>107</v>
      </c>
      <c r="D54" s="4">
        <v>36898.0</v>
      </c>
      <c r="E54" s="2" t="s">
        <v>79</v>
      </c>
      <c r="F54" s="2" t="s">
        <v>86</v>
      </c>
      <c r="G54" s="2">
        <v>10.0</v>
      </c>
      <c r="H54" s="2" t="s">
        <v>108</v>
      </c>
      <c r="I54" s="5">
        <v>38300.0</v>
      </c>
      <c r="J54" s="6">
        <f t="shared" si="1"/>
        <v>383000</v>
      </c>
      <c r="K54" s="7" t="str">
        <f t="shared" si="2"/>
        <v>belum</v>
      </c>
      <c r="L54" s="7">
        <f t="shared" si="3"/>
        <v>0</v>
      </c>
      <c r="M54" s="6">
        <f t="shared" si="4"/>
        <v>383000</v>
      </c>
    </row>
    <row r="55">
      <c r="A55" s="2">
        <v>54.0</v>
      </c>
      <c r="B55" s="2" t="s">
        <v>103</v>
      </c>
      <c r="C55" s="2" t="s">
        <v>109</v>
      </c>
      <c r="D55" s="4">
        <v>36898.0</v>
      </c>
      <c r="E55" s="2" t="s">
        <v>79</v>
      </c>
      <c r="F55" s="2" t="s">
        <v>86</v>
      </c>
      <c r="G55" s="2">
        <v>10.0</v>
      </c>
      <c r="H55" s="2" t="s">
        <v>108</v>
      </c>
      <c r="I55" s="5">
        <v>26200.0</v>
      </c>
      <c r="J55" s="6">
        <f t="shared" si="1"/>
        <v>262000</v>
      </c>
      <c r="K55" s="7" t="str">
        <f t="shared" si="2"/>
        <v>belum</v>
      </c>
      <c r="L55" s="7">
        <f t="shared" si="3"/>
        <v>0</v>
      </c>
      <c r="M55" s="6">
        <f t="shared" si="4"/>
        <v>262000</v>
      </c>
    </row>
    <row r="56">
      <c r="A56" s="2">
        <v>55.0</v>
      </c>
      <c r="B56" s="2" t="s">
        <v>110</v>
      </c>
      <c r="C56" s="2" t="s">
        <v>111</v>
      </c>
      <c r="D56" s="4">
        <v>36898.0</v>
      </c>
      <c r="E56" s="2" t="s">
        <v>79</v>
      </c>
      <c r="F56" s="2" t="s">
        <v>86</v>
      </c>
      <c r="G56" s="2">
        <v>6.0</v>
      </c>
      <c r="I56" s="5">
        <v>1190000.0</v>
      </c>
      <c r="J56" s="6">
        <f t="shared" si="1"/>
        <v>7140000</v>
      </c>
      <c r="K56" s="7" t="str">
        <f t="shared" si="2"/>
        <v>belum</v>
      </c>
      <c r="L56" s="7">
        <f t="shared" si="3"/>
        <v>0</v>
      </c>
      <c r="M56" s="6">
        <f t="shared" si="4"/>
        <v>7140000</v>
      </c>
    </row>
    <row r="57">
      <c r="A57" s="2">
        <v>56.0</v>
      </c>
      <c r="B57" s="2" t="s">
        <v>112</v>
      </c>
      <c r="C57" s="2" t="s">
        <v>113</v>
      </c>
      <c r="D57" s="4">
        <v>36898.0</v>
      </c>
      <c r="E57" s="2" t="s">
        <v>79</v>
      </c>
      <c r="F57" s="2" t="s">
        <v>86</v>
      </c>
      <c r="G57" s="2">
        <v>12.0</v>
      </c>
      <c r="H57" s="2" t="s">
        <v>114</v>
      </c>
      <c r="I57" s="5">
        <v>215400.0</v>
      </c>
      <c r="J57" s="6">
        <f t="shared" si="1"/>
        <v>2584800</v>
      </c>
      <c r="K57" s="7" t="str">
        <f t="shared" si="2"/>
        <v>belum</v>
      </c>
      <c r="L57" s="7">
        <f t="shared" si="3"/>
        <v>0</v>
      </c>
      <c r="M57" s="6">
        <f t="shared" si="4"/>
        <v>2584800</v>
      </c>
    </row>
    <row r="58">
      <c r="A58" s="2">
        <v>57.0</v>
      </c>
      <c r="B58" s="2" t="s">
        <v>112</v>
      </c>
      <c r="C58" s="2" t="s">
        <v>115</v>
      </c>
      <c r="D58" s="4">
        <v>36898.0</v>
      </c>
      <c r="E58" s="2" t="s">
        <v>79</v>
      </c>
      <c r="F58" s="2" t="s">
        <v>86</v>
      </c>
      <c r="G58" s="2">
        <v>12.0</v>
      </c>
      <c r="H58" s="2" t="s">
        <v>81</v>
      </c>
      <c r="I58" s="5">
        <v>184500.0</v>
      </c>
      <c r="J58" s="6">
        <f t="shared" si="1"/>
        <v>2214000</v>
      </c>
      <c r="K58" s="7" t="str">
        <f t="shared" si="2"/>
        <v>belum</v>
      </c>
      <c r="L58" s="7">
        <f t="shared" si="3"/>
        <v>0</v>
      </c>
      <c r="M58" s="6">
        <f t="shared" si="4"/>
        <v>2214000</v>
      </c>
    </row>
    <row r="59">
      <c r="A59" s="2">
        <v>58.0</v>
      </c>
      <c r="B59" s="2" t="s">
        <v>112</v>
      </c>
      <c r="C59" s="2" t="s">
        <v>116</v>
      </c>
      <c r="D59" s="4">
        <v>36898.0</v>
      </c>
      <c r="E59" s="2" t="s">
        <v>79</v>
      </c>
      <c r="F59" s="2" t="s">
        <v>86</v>
      </c>
      <c r="G59" s="2">
        <v>8.0</v>
      </c>
      <c r="H59" s="2" t="s">
        <v>81</v>
      </c>
      <c r="I59" s="5">
        <v>238400.0</v>
      </c>
      <c r="J59" s="6">
        <f t="shared" si="1"/>
        <v>1907200</v>
      </c>
      <c r="K59" s="7" t="str">
        <f t="shared" si="2"/>
        <v>belum</v>
      </c>
      <c r="L59" s="7">
        <f t="shared" si="3"/>
        <v>0</v>
      </c>
      <c r="M59" s="6">
        <f t="shared" si="4"/>
        <v>1907200</v>
      </c>
    </row>
    <row r="60">
      <c r="A60" s="2">
        <v>59.0</v>
      </c>
      <c r="B60" s="2" t="s">
        <v>117</v>
      </c>
      <c r="C60" s="2" t="s">
        <v>118</v>
      </c>
      <c r="D60" s="4">
        <v>36898.0</v>
      </c>
      <c r="E60" s="2" t="s">
        <v>79</v>
      </c>
      <c r="F60" s="2" t="s">
        <v>119</v>
      </c>
      <c r="G60" s="2">
        <v>12.0</v>
      </c>
      <c r="H60" s="2" t="s">
        <v>81</v>
      </c>
      <c r="I60" s="5">
        <v>19600.0</v>
      </c>
      <c r="J60" s="6">
        <f t="shared" si="1"/>
        <v>235200</v>
      </c>
      <c r="K60" s="7" t="str">
        <f t="shared" si="2"/>
        <v>belum</v>
      </c>
      <c r="L60" s="7">
        <f t="shared" si="3"/>
        <v>0</v>
      </c>
      <c r="M60" s="6">
        <f t="shared" si="4"/>
        <v>235200</v>
      </c>
    </row>
    <row r="61">
      <c r="A61" s="2">
        <v>60.0</v>
      </c>
      <c r="B61" s="2" t="s">
        <v>117</v>
      </c>
      <c r="C61" s="2" t="s">
        <v>120</v>
      </c>
      <c r="D61" s="4">
        <v>36898.0</v>
      </c>
      <c r="E61" s="2" t="s">
        <v>79</v>
      </c>
      <c r="F61" s="2" t="s">
        <v>119</v>
      </c>
      <c r="G61" s="2">
        <v>12.0</v>
      </c>
      <c r="H61" s="2" t="s">
        <v>81</v>
      </c>
      <c r="I61" s="5">
        <v>47600.0</v>
      </c>
      <c r="J61" s="6">
        <f t="shared" si="1"/>
        <v>571200</v>
      </c>
      <c r="K61" s="7" t="str">
        <f t="shared" si="2"/>
        <v>belum</v>
      </c>
      <c r="L61" s="7">
        <f t="shared" si="3"/>
        <v>0</v>
      </c>
      <c r="M61" s="6">
        <f t="shared" si="4"/>
        <v>571200</v>
      </c>
    </row>
    <row r="62">
      <c r="A62" s="2">
        <v>61.0</v>
      </c>
      <c r="B62" s="2" t="s">
        <v>117</v>
      </c>
      <c r="C62" s="2" t="s">
        <v>121</v>
      </c>
      <c r="D62" s="4">
        <v>36898.0</v>
      </c>
      <c r="E62" s="2" t="s">
        <v>79</v>
      </c>
      <c r="F62" s="2" t="s">
        <v>119</v>
      </c>
      <c r="G62" s="2">
        <v>12.0</v>
      </c>
      <c r="H62" s="2" t="s">
        <v>81</v>
      </c>
      <c r="I62" s="5">
        <v>29400.0</v>
      </c>
      <c r="J62" s="6">
        <f t="shared" si="1"/>
        <v>352800</v>
      </c>
      <c r="K62" s="7" t="str">
        <f t="shared" si="2"/>
        <v>belum</v>
      </c>
      <c r="L62" s="7">
        <f t="shared" si="3"/>
        <v>0</v>
      </c>
      <c r="M62" s="6">
        <f t="shared" si="4"/>
        <v>352800</v>
      </c>
    </row>
    <row r="63">
      <c r="A63" s="2">
        <v>62.0</v>
      </c>
      <c r="B63" s="2" t="s">
        <v>122</v>
      </c>
      <c r="C63" s="2" t="s">
        <v>123</v>
      </c>
      <c r="D63" s="4">
        <v>36898.0</v>
      </c>
      <c r="E63" s="2" t="s">
        <v>79</v>
      </c>
      <c r="F63" s="2" t="s">
        <v>124</v>
      </c>
      <c r="G63" s="2">
        <v>50.0</v>
      </c>
      <c r="H63" s="2" t="s">
        <v>125</v>
      </c>
      <c r="I63" s="5">
        <v>28100.0</v>
      </c>
      <c r="J63" s="6">
        <f t="shared" si="1"/>
        <v>1405000</v>
      </c>
      <c r="K63" s="7" t="str">
        <f t="shared" si="2"/>
        <v>belum</v>
      </c>
      <c r="L63" s="7">
        <f t="shared" si="3"/>
        <v>0</v>
      </c>
      <c r="M63" s="6">
        <f t="shared" si="4"/>
        <v>1405000</v>
      </c>
    </row>
    <row r="64">
      <c r="A64" s="2">
        <v>63.0</v>
      </c>
      <c r="B64" s="2" t="s">
        <v>122</v>
      </c>
      <c r="C64" s="2" t="s">
        <v>126</v>
      </c>
      <c r="D64" s="4">
        <v>36898.0</v>
      </c>
      <c r="E64" s="2" t="s">
        <v>79</v>
      </c>
      <c r="F64" s="2" t="s">
        <v>124</v>
      </c>
      <c r="G64" s="2">
        <v>15.0</v>
      </c>
      <c r="H64" s="2" t="s">
        <v>108</v>
      </c>
      <c r="I64" s="5">
        <v>44400.0</v>
      </c>
      <c r="J64" s="6">
        <f t="shared" si="1"/>
        <v>666000</v>
      </c>
      <c r="K64" s="7" t="str">
        <f t="shared" si="2"/>
        <v>belum</v>
      </c>
      <c r="L64" s="7">
        <f t="shared" si="3"/>
        <v>0</v>
      </c>
      <c r="M64" s="6">
        <f t="shared" si="4"/>
        <v>666000</v>
      </c>
    </row>
    <row r="65">
      <c r="A65" s="2">
        <v>64.0</v>
      </c>
      <c r="B65" s="2" t="s">
        <v>84</v>
      </c>
      <c r="C65" s="2" t="s">
        <v>127</v>
      </c>
      <c r="D65" s="4">
        <v>36898.0</v>
      </c>
      <c r="E65" s="2" t="s">
        <v>79</v>
      </c>
      <c r="F65" s="2" t="s">
        <v>128</v>
      </c>
      <c r="G65" s="2">
        <v>426.0</v>
      </c>
      <c r="H65" s="2" t="s">
        <v>129</v>
      </c>
      <c r="I65" s="9">
        <v>1.0</v>
      </c>
      <c r="J65" s="6">
        <f t="shared" si="1"/>
        <v>426</v>
      </c>
      <c r="K65" s="7" t="str">
        <f t="shared" si="2"/>
        <v>belum</v>
      </c>
      <c r="L65" s="7">
        <f t="shared" si="3"/>
        <v>0</v>
      </c>
      <c r="M65" s="6">
        <f t="shared" si="4"/>
        <v>426</v>
      </c>
    </row>
    <row r="66">
      <c r="A66" s="2">
        <v>65.0</v>
      </c>
      <c r="B66" s="2" t="s">
        <v>84</v>
      </c>
      <c r="C66" s="2" t="s">
        <v>130</v>
      </c>
      <c r="D66" s="4">
        <v>36898.0</v>
      </c>
      <c r="E66" s="2" t="s">
        <v>79</v>
      </c>
      <c r="F66" s="2" t="s">
        <v>128</v>
      </c>
      <c r="G66" s="2">
        <v>100.0</v>
      </c>
      <c r="H66" s="2" t="s">
        <v>131</v>
      </c>
      <c r="I66" s="5">
        <v>48800.0</v>
      </c>
      <c r="J66" s="6">
        <f t="shared" si="1"/>
        <v>4880000</v>
      </c>
      <c r="K66" s="7" t="str">
        <f t="shared" si="2"/>
        <v>belum</v>
      </c>
      <c r="L66" s="7">
        <f t="shared" si="3"/>
        <v>0</v>
      </c>
      <c r="M66" s="6">
        <f t="shared" si="4"/>
        <v>4880000</v>
      </c>
    </row>
    <row r="67">
      <c r="A67" s="2">
        <v>66.0</v>
      </c>
      <c r="B67" s="2" t="s">
        <v>84</v>
      </c>
      <c r="C67" s="2" t="s">
        <v>132</v>
      </c>
      <c r="D67" s="4">
        <v>36898.0</v>
      </c>
      <c r="E67" s="2" t="s">
        <v>79</v>
      </c>
      <c r="F67" s="2" t="s">
        <v>128</v>
      </c>
      <c r="G67" s="2">
        <v>5.0</v>
      </c>
      <c r="H67" s="2" t="s">
        <v>81</v>
      </c>
      <c r="I67" s="5">
        <v>146800.0</v>
      </c>
      <c r="J67" s="6">
        <f t="shared" si="1"/>
        <v>734000</v>
      </c>
      <c r="K67" s="7" t="str">
        <f t="shared" si="2"/>
        <v>belum</v>
      </c>
      <c r="L67" s="7">
        <f t="shared" si="3"/>
        <v>0</v>
      </c>
      <c r="M67" s="6">
        <f t="shared" si="4"/>
        <v>734000</v>
      </c>
    </row>
    <row r="68">
      <c r="A68" s="2">
        <v>67.0</v>
      </c>
      <c r="B68" s="2" t="s">
        <v>84</v>
      </c>
      <c r="C68" s="2" t="s">
        <v>133</v>
      </c>
      <c r="D68" s="4">
        <v>36898.0</v>
      </c>
      <c r="E68" s="2" t="s">
        <v>79</v>
      </c>
      <c r="F68" s="2" t="s">
        <v>128</v>
      </c>
      <c r="G68" s="2">
        <v>20.0</v>
      </c>
      <c r="H68" s="2" t="s">
        <v>87</v>
      </c>
      <c r="I68" s="5">
        <v>46400.0</v>
      </c>
      <c r="J68" s="6">
        <f t="shared" si="1"/>
        <v>928000</v>
      </c>
      <c r="K68" s="7" t="str">
        <f t="shared" si="2"/>
        <v>belum</v>
      </c>
      <c r="L68" s="7">
        <f t="shared" si="3"/>
        <v>0</v>
      </c>
      <c r="M68" s="6">
        <f t="shared" si="4"/>
        <v>928000</v>
      </c>
    </row>
    <row r="69">
      <c r="A69" s="2">
        <v>68.0</v>
      </c>
      <c r="B69" s="2" t="s">
        <v>84</v>
      </c>
      <c r="C69" s="2" t="s">
        <v>134</v>
      </c>
      <c r="D69" s="4">
        <v>36898.0</v>
      </c>
      <c r="E69" s="2" t="s">
        <v>79</v>
      </c>
      <c r="F69" s="2" t="s">
        <v>128</v>
      </c>
      <c r="G69" s="2">
        <v>2012.0</v>
      </c>
      <c r="H69" s="2" t="s">
        <v>135</v>
      </c>
      <c r="I69" s="9">
        <v>600.0</v>
      </c>
      <c r="J69" s="6">
        <f t="shared" si="1"/>
        <v>1207200</v>
      </c>
      <c r="K69" s="7" t="str">
        <f t="shared" si="2"/>
        <v>belum</v>
      </c>
      <c r="L69" s="7">
        <f t="shared" si="3"/>
        <v>0</v>
      </c>
      <c r="M69" s="6">
        <f t="shared" si="4"/>
        <v>1207200</v>
      </c>
    </row>
    <row r="70">
      <c r="A70" s="2">
        <v>69.0</v>
      </c>
      <c r="B70" s="2" t="s">
        <v>84</v>
      </c>
      <c r="C70" s="2" t="s">
        <v>136</v>
      </c>
      <c r="D70" s="4">
        <v>36898.0</v>
      </c>
      <c r="E70" s="2" t="s">
        <v>79</v>
      </c>
      <c r="F70" s="2" t="s">
        <v>128</v>
      </c>
      <c r="G70" s="2">
        <v>2000.0</v>
      </c>
      <c r="H70" s="2" t="s">
        <v>135</v>
      </c>
      <c r="I70" s="9">
        <v>600.0</v>
      </c>
      <c r="J70" s="6">
        <f t="shared" si="1"/>
        <v>1200000</v>
      </c>
      <c r="K70" s="7" t="str">
        <f t="shared" si="2"/>
        <v>belum</v>
      </c>
      <c r="L70" s="7">
        <f t="shared" si="3"/>
        <v>0</v>
      </c>
      <c r="M70" s="6">
        <f t="shared" si="4"/>
        <v>1200000</v>
      </c>
    </row>
    <row r="71">
      <c r="A71" s="2">
        <v>70.0</v>
      </c>
      <c r="B71" s="2" t="s">
        <v>84</v>
      </c>
      <c r="C71" s="2" t="s">
        <v>137</v>
      </c>
      <c r="D71" s="4">
        <v>36898.0</v>
      </c>
      <c r="E71" s="2" t="s">
        <v>79</v>
      </c>
      <c r="F71" s="2" t="s">
        <v>128</v>
      </c>
      <c r="G71" s="2">
        <v>60.0</v>
      </c>
      <c r="H71" s="2" t="s">
        <v>81</v>
      </c>
      <c r="I71" s="5">
        <v>35100.0</v>
      </c>
      <c r="J71" s="6">
        <f t="shared" si="1"/>
        <v>2106000</v>
      </c>
      <c r="K71" s="7" t="str">
        <f t="shared" si="2"/>
        <v>belum</v>
      </c>
      <c r="L71" s="7">
        <f t="shared" si="3"/>
        <v>0</v>
      </c>
      <c r="M71" s="6">
        <f t="shared" si="4"/>
        <v>2106000</v>
      </c>
    </row>
    <row r="72">
      <c r="A72" s="2">
        <v>71.0</v>
      </c>
      <c r="B72" s="2" t="s">
        <v>138</v>
      </c>
      <c r="C72" s="2" t="s">
        <v>139</v>
      </c>
      <c r="D72" s="4">
        <v>36898.0</v>
      </c>
      <c r="E72" s="2" t="s">
        <v>79</v>
      </c>
      <c r="F72" s="2" t="s">
        <v>140</v>
      </c>
      <c r="G72" s="2">
        <v>732.0</v>
      </c>
      <c r="H72" s="2" t="s">
        <v>141</v>
      </c>
      <c r="I72" s="5">
        <v>5200.0</v>
      </c>
      <c r="J72" s="6">
        <f t="shared" si="1"/>
        <v>3806400</v>
      </c>
      <c r="K72" s="7" t="str">
        <f t="shared" si="2"/>
        <v>belum</v>
      </c>
      <c r="L72" s="7">
        <f t="shared" si="3"/>
        <v>0</v>
      </c>
      <c r="M72" s="6">
        <f t="shared" si="4"/>
        <v>3806400</v>
      </c>
    </row>
    <row r="73">
      <c r="A73" s="2">
        <v>72.0</v>
      </c>
      <c r="B73" s="2" t="s">
        <v>142</v>
      </c>
      <c r="C73" s="2" t="s">
        <v>143</v>
      </c>
      <c r="D73" s="4">
        <v>36898.0</v>
      </c>
      <c r="E73" s="2" t="s">
        <v>79</v>
      </c>
      <c r="F73" s="2" t="s">
        <v>144</v>
      </c>
      <c r="G73" s="2">
        <v>25.0</v>
      </c>
      <c r="H73" s="2" t="s">
        <v>75</v>
      </c>
      <c r="I73" s="5">
        <v>20000.0</v>
      </c>
      <c r="J73" s="6">
        <f t="shared" si="1"/>
        <v>500000</v>
      </c>
      <c r="K73" s="7" t="str">
        <f t="shared" si="2"/>
        <v>belum</v>
      </c>
      <c r="L73" s="7">
        <f t="shared" si="3"/>
        <v>0</v>
      </c>
      <c r="M73" s="6">
        <f t="shared" si="4"/>
        <v>500000</v>
      </c>
    </row>
    <row r="74">
      <c r="A74" s="2">
        <v>73.0</v>
      </c>
      <c r="B74" s="2" t="s">
        <v>142</v>
      </c>
      <c r="C74" s="2" t="s">
        <v>145</v>
      </c>
      <c r="D74" s="4">
        <v>36898.0</v>
      </c>
      <c r="E74" s="2" t="s">
        <v>79</v>
      </c>
      <c r="F74" s="2" t="s">
        <v>144</v>
      </c>
      <c r="G74" s="2">
        <v>5.0</v>
      </c>
      <c r="H74" s="2" t="s">
        <v>75</v>
      </c>
      <c r="I74" s="5">
        <v>200000.0</v>
      </c>
      <c r="J74" s="6">
        <f t="shared" si="1"/>
        <v>1000000</v>
      </c>
      <c r="K74" s="7" t="str">
        <f t="shared" si="2"/>
        <v>belum</v>
      </c>
      <c r="L74" s="7">
        <f t="shared" si="3"/>
        <v>0</v>
      </c>
      <c r="M74" s="6">
        <f t="shared" si="4"/>
        <v>1000000</v>
      </c>
    </row>
    <row r="75">
      <c r="A75" s="2">
        <v>74.0</v>
      </c>
      <c r="B75" s="2" t="s">
        <v>71</v>
      </c>
      <c r="C75" s="2" t="s">
        <v>72</v>
      </c>
      <c r="D75" s="4">
        <v>36898.0</v>
      </c>
      <c r="E75" s="2" t="s">
        <v>79</v>
      </c>
      <c r="F75" s="2" t="s">
        <v>146</v>
      </c>
      <c r="G75" s="2">
        <v>60.0</v>
      </c>
      <c r="H75" s="2" t="s">
        <v>75</v>
      </c>
      <c r="I75" s="5">
        <v>21000.0</v>
      </c>
      <c r="J75" s="6">
        <f t="shared" si="1"/>
        <v>1260000</v>
      </c>
      <c r="K75" s="7" t="str">
        <f t="shared" si="2"/>
        <v>belum</v>
      </c>
      <c r="L75" s="7">
        <f t="shared" si="3"/>
        <v>0</v>
      </c>
      <c r="M75" s="6">
        <f t="shared" si="4"/>
        <v>1260000</v>
      </c>
    </row>
    <row r="76">
      <c r="A76" s="2">
        <v>75.0</v>
      </c>
      <c r="B76" s="2" t="s">
        <v>71</v>
      </c>
      <c r="C76" s="2" t="s">
        <v>76</v>
      </c>
      <c r="D76" s="4">
        <v>36898.0</v>
      </c>
      <c r="E76" s="2" t="s">
        <v>79</v>
      </c>
      <c r="F76" s="2" t="s">
        <v>146</v>
      </c>
      <c r="G76" s="2">
        <v>60.0</v>
      </c>
      <c r="H76" s="2" t="s">
        <v>75</v>
      </c>
      <c r="I76" s="5">
        <v>50000.0</v>
      </c>
      <c r="J76" s="6">
        <f t="shared" si="1"/>
        <v>3000000</v>
      </c>
      <c r="K76" s="7" t="str">
        <f t="shared" si="2"/>
        <v>belum</v>
      </c>
      <c r="L76" s="7">
        <f t="shared" si="3"/>
        <v>0</v>
      </c>
      <c r="M76" s="6">
        <f t="shared" si="4"/>
        <v>3000000</v>
      </c>
    </row>
    <row r="77">
      <c r="A77" s="2">
        <v>76.0</v>
      </c>
      <c r="B77" s="2" t="s">
        <v>13</v>
      </c>
      <c r="C77" s="2" t="s">
        <v>14</v>
      </c>
      <c r="D77" s="4">
        <v>36898.0</v>
      </c>
      <c r="E77" s="2" t="s">
        <v>79</v>
      </c>
      <c r="F77" s="2" t="s">
        <v>146</v>
      </c>
      <c r="G77" s="2">
        <v>35.0</v>
      </c>
      <c r="H77" s="2" t="s">
        <v>17</v>
      </c>
      <c r="I77" s="5">
        <v>170000.0</v>
      </c>
      <c r="J77" s="6">
        <f t="shared" si="1"/>
        <v>5950000</v>
      </c>
      <c r="K77" s="7" t="str">
        <f t="shared" si="2"/>
        <v>belum</v>
      </c>
      <c r="L77" s="7">
        <f t="shared" si="3"/>
        <v>0</v>
      </c>
      <c r="M77" s="6">
        <f t="shared" si="4"/>
        <v>5950000</v>
      </c>
    </row>
    <row r="78">
      <c r="A78" s="2">
        <v>77.0</v>
      </c>
      <c r="B78" s="2" t="s">
        <v>13</v>
      </c>
      <c r="C78" s="2" t="s">
        <v>127</v>
      </c>
      <c r="D78" s="4">
        <v>36898.0</v>
      </c>
      <c r="E78" s="2" t="s">
        <v>79</v>
      </c>
      <c r="F78" s="2" t="s">
        <v>146</v>
      </c>
      <c r="G78" s="2">
        <v>10000.0</v>
      </c>
      <c r="H78" s="2" t="s">
        <v>129</v>
      </c>
      <c r="I78" s="9">
        <v>1.0</v>
      </c>
      <c r="J78" s="6">
        <f t="shared" si="1"/>
        <v>10000</v>
      </c>
      <c r="K78" s="7" t="str">
        <f t="shared" si="2"/>
        <v>belum</v>
      </c>
      <c r="L78" s="7">
        <f t="shared" si="3"/>
        <v>0</v>
      </c>
      <c r="M78" s="6">
        <f t="shared" si="4"/>
        <v>10000</v>
      </c>
    </row>
    <row r="79">
      <c r="A79" s="2">
        <v>78.0</v>
      </c>
      <c r="B79" s="2" t="s">
        <v>18</v>
      </c>
      <c r="C79" s="2" t="s">
        <v>19</v>
      </c>
      <c r="D79" s="4">
        <v>36898.0</v>
      </c>
      <c r="E79" s="2" t="s">
        <v>79</v>
      </c>
      <c r="F79" s="2" t="s">
        <v>146</v>
      </c>
      <c r="G79" s="2">
        <v>38.0</v>
      </c>
      <c r="H79" s="2" t="s">
        <v>17</v>
      </c>
      <c r="I79" s="5">
        <v>105000.0</v>
      </c>
      <c r="J79" s="6">
        <f t="shared" si="1"/>
        <v>3990000</v>
      </c>
      <c r="K79" s="7" t="str">
        <f t="shared" si="2"/>
        <v>belum</v>
      </c>
      <c r="L79" s="7">
        <f t="shared" si="3"/>
        <v>0</v>
      </c>
      <c r="M79" s="6">
        <f t="shared" si="4"/>
        <v>3990000</v>
      </c>
    </row>
    <row r="80">
      <c r="A80" s="2">
        <v>79.0</v>
      </c>
      <c r="B80" s="2" t="s">
        <v>20</v>
      </c>
      <c r="C80" s="2" t="s">
        <v>21</v>
      </c>
      <c r="D80" s="4">
        <v>36898.0</v>
      </c>
      <c r="E80" s="2" t="s">
        <v>79</v>
      </c>
      <c r="F80" s="2" t="s">
        <v>146</v>
      </c>
      <c r="G80" s="2">
        <v>6.0</v>
      </c>
      <c r="H80" s="2" t="s">
        <v>17</v>
      </c>
      <c r="I80" s="5">
        <v>430000.0</v>
      </c>
      <c r="J80" s="6">
        <f t="shared" si="1"/>
        <v>2580000</v>
      </c>
      <c r="K80" s="7" t="str">
        <f t="shared" si="2"/>
        <v>belum</v>
      </c>
      <c r="L80" s="7">
        <f t="shared" si="3"/>
        <v>0</v>
      </c>
      <c r="M80" s="6">
        <f t="shared" si="4"/>
        <v>2580000</v>
      </c>
    </row>
    <row r="81">
      <c r="A81" s="2">
        <v>80.0</v>
      </c>
      <c r="B81" s="2" t="s">
        <v>20</v>
      </c>
      <c r="C81" s="2" t="s">
        <v>147</v>
      </c>
      <c r="D81" s="4">
        <v>36898.0</v>
      </c>
      <c r="E81" s="2" t="s">
        <v>79</v>
      </c>
      <c r="F81" s="2" t="s">
        <v>146</v>
      </c>
      <c r="G81" s="2">
        <v>2.0</v>
      </c>
      <c r="H81" s="2" t="s">
        <v>17</v>
      </c>
      <c r="I81" s="5">
        <v>1160000.0</v>
      </c>
      <c r="J81" s="6">
        <f t="shared" si="1"/>
        <v>2320000</v>
      </c>
      <c r="K81" s="7" t="str">
        <f t="shared" si="2"/>
        <v>belum</v>
      </c>
      <c r="L81" s="7">
        <f t="shared" si="3"/>
        <v>0</v>
      </c>
      <c r="M81" s="6">
        <f t="shared" si="4"/>
        <v>2320000</v>
      </c>
    </row>
    <row r="82">
      <c r="A82" s="2">
        <v>81.0</v>
      </c>
      <c r="B82" s="2" t="s">
        <v>20</v>
      </c>
      <c r="C82" s="2" t="s">
        <v>148</v>
      </c>
      <c r="D82" s="4">
        <v>36898.0</v>
      </c>
      <c r="E82" s="2" t="s">
        <v>79</v>
      </c>
      <c r="F82" s="2" t="s">
        <v>146</v>
      </c>
      <c r="G82" s="2">
        <v>2.0</v>
      </c>
      <c r="H82" s="2" t="s">
        <v>17</v>
      </c>
      <c r="I82" s="5">
        <v>580000.0</v>
      </c>
      <c r="J82" s="6">
        <f t="shared" si="1"/>
        <v>1160000</v>
      </c>
      <c r="K82" s="7" t="str">
        <f t="shared" si="2"/>
        <v>belum</v>
      </c>
      <c r="L82" s="7">
        <f t="shared" si="3"/>
        <v>0</v>
      </c>
      <c r="M82" s="6">
        <f t="shared" si="4"/>
        <v>1160000</v>
      </c>
    </row>
    <row r="83">
      <c r="A83" s="2">
        <v>82.0</v>
      </c>
      <c r="B83" s="2" t="s">
        <v>22</v>
      </c>
      <c r="C83" s="2" t="s">
        <v>23</v>
      </c>
      <c r="D83" s="4">
        <v>36898.0</v>
      </c>
      <c r="E83" s="2" t="s">
        <v>79</v>
      </c>
      <c r="F83" s="2" t="s">
        <v>146</v>
      </c>
      <c r="G83" s="2">
        <v>20.0</v>
      </c>
      <c r="H83" s="2" t="s">
        <v>17</v>
      </c>
      <c r="I83" s="5">
        <v>105000.0</v>
      </c>
      <c r="J83" s="6">
        <f t="shared" si="1"/>
        <v>2100000</v>
      </c>
      <c r="K83" s="7" t="str">
        <f t="shared" si="2"/>
        <v>belum</v>
      </c>
      <c r="L83" s="7">
        <f t="shared" si="3"/>
        <v>0</v>
      </c>
      <c r="M83" s="6">
        <f t="shared" si="4"/>
        <v>2100000</v>
      </c>
    </row>
    <row r="84">
      <c r="A84" s="2">
        <v>83.0</v>
      </c>
      <c r="B84" s="2" t="s">
        <v>149</v>
      </c>
      <c r="C84" s="2" t="s">
        <v>150</v>
      </c>
      <c r="D84" s="4">
        <v>36898.0</v>
      </c>
      <c r="E84" s="2" t="s">
        <v>151</v>
      </c>
      <c r="F84" s="2" t="s">
        <v>152</v>
      </c>
      <c r="G84" s="2">
        <v>95.0</v>
      </c>
      <c r="H84" s="2" t="s">
        <v>81</v>
      </c>
      <c r="I84" s="5">
        <v>10000.0</v>
      </c>
      <c r="J84" s="6">
        <f t="shared" si="1"/>
        <v>950000</v>
      </c>
      <c r="K84" s="7" t="str">
        <f t="shared" si="2"/>
        <v>belum</v>
      </c>
      <c r="L84" s="7">
        <f t="shared" si="3"/>
        <v>0</v>
      </c>
      <c r="M84" s="6">
        <f t="shared" si="4"/>
        <v>950000</v>
      </c>
    </row>
    <row r="85">
      <c r="A85" s="2">
        <v>84.0</v>
      </c>
      <c r="B85" s="2" t="s">
        <v>153</v>
      </c>
      <c r="C85" s="2" t="s">
        <v>127</v>
      </c>
      <c r="D85" s="4">
        <v>36898.0</v>
      </c>
      <c r="E85" s="2" t="s">
        <v>151</v>
      </c>
      <c r="F85" s="2" t="s">
        <v>152</v>
      </c>
      <c r="G85" s="2">
        <v>420.0</v>
      </c>
      <c r="H85" s="2" t="s">
        <v>129</v>
      </c>
      <c r="I85" s="9">
        <v>1.0</v>
      </c>
      <c r="J85" s="6">
        <f t="shared" si="1"/>
        <v>420</v>
      </c>
      <c r="K85" s="7" t="str">
        <f t="shared" si="2"/>
        <v>belum</v>
      </c>
      <c r="L85" s="7">
        <f t="shared" si="3"/>
        <v>0</v>
      </c>
      <c r="M85" s="6">
        <f t="shared" si="4"/>
        <v>420</v>
      </c>
    </row>
    <row r="86">
      <c r="A86" s="2">
        <v>85.0</v>
      </c>
      <c r="B86" s="2" t="s">
        <v>154</v>
      </c>
      <c r="C86" s="2" t="s">
        <v>155</v>
      </c>
      <c r="D86" s="4">
        <v>36898.0</v>
      </c>
      <c r="E86" s="2" t="s">
        <v>151</v>
      </c>
      <c r="F86" s="2" t="s">
        <v>152</v>
      </c>
      <c r="G86" s="2">
        <v>991.0</v>
      </c>
      <c r="H86" s="2" t="s">
        <v>156</v>
      </c>
      <c r="I86" s="5">
        <v>7100.0</v>
      </c>
      <c r="J86" s="6">
        <f t="shared" si="1"/>
        <v>7036100</v>
      </c>
      <c r="K86" s="7" t="str">
        <f t="shared" si="2"/>
        <v>belum</v>
      </c>
      <c r="L86" s="7">
        <f t="shared" si="3"/>
        <v>0</v>
      </c>
      <c r="M86" s="6">
        <f t="shared" si="4"/>
        <v>7036100</v>
      </c>
    </row>
    <row r="87">
      <c r="A87" s="2">
        <v>86.0</v>
      </c>
      <c r="B87" s="2" t="s">
        <v>157</v>
      </c>
      <c r="C87" s="2" t="s">
        <v>158</v>
      </c>
      <c r="D87" s="4">
        <v>36898.0</v>
      </c>
      <c r="E87" s="2" t="s">
        <v>151</v>
      </c>
      <c r="F87" s="2" t="s">
        <v>152</v>
      </c>
      <c r="G87" s="2">
        <v>18580.0</v>
      </c>
      <c r="H87" s="2" t="s">
        <v>159</v>
      </c>
      <c r="I87" s="5">
        <v>1076.0</v>
      </c>
      <c r="J87" s="6">
        <f t="shared" si="1"/>
        <v>19992080</v>
      </c>
      <c r="K87" s="7" t="str">
        <f t="shared" si="2"/>
        <v>belum</v>
      </c>
      <c r="L87" s="7">
        <f t="shared" si="3"/>
        <v>0</v>
      </c>
      <c r="M87" s="6">
        <f t="shared" si="4"/>
        <v>19992080</v>
      </c>
    </row>
    <row r="88">
      <c r="A88" s="2">
        <v>87.0</v>
      </c>
      <c r="B88" s="2" t="s">
        <v>160</v>
      </c>
      <c r="C88" s="2" t="s">
        <v>161</v>
      </c>
      <c r="D88" s="4">
        <v>36898.0</v>
      </c>
      <c r="E88" s="2" t="s">
        <v>151</v>
      </c>
      <c r="F88" s="2" t="s">
        <v>162</v>
      </c>
      <c r="G88" s="2">
        <v>24.0</v>
      </c>
      <c r="H88" s="2" t="s">
        <v>163</v>
      </c>
      <c r="I88" s="5">
        <v>2100000.0</v>
      </c>
      <c r="J88" s="6">
        <f t="shared" si="1"/>
        <v>50400000</v>
      </c>
      <c r="K88" s="7" t="str">
        <f t="shared" si="2"/>
        <v>belum</v>
      </c>
      <c r="L88" s="7">
        <f t="shared" si="3"/>
        <v>0</v>
      </c>
      <c r="M88" s="6">
        <f t="shared" si="4"/>
        <v>50400000</v>
      </c>
    </row>
    <row r="89">
      <c r="A89" s="2">
        <v>88.0</v>
      </c>
      <c r="B89" s="2" t="s">
        <v>164</v>
      </c>
      <c r="C89" s="2" t="s">
        <v>165</v>
      </c>
      <c r="D89" s="4">
        <v>36898.0</v>
      </c>
      <c r="E89" s="2" t="s">
        <v>151</v>
      </c>
      <c r="F89" s="2" t="s">
        <v>162</v>
      </c>
      <c r="G89" s="2">
        <v>11.0</v>
      </c>
      <c r="H89" s="2" t="s">
        <v>163</v>
      </c>
      <c r="I89" s="5">
        <v>4000000.0</v>
      </c>
      <c r="J89" s="6">
        <f t="shared" si="1"/>
        <v>44000000</v>
      </c>
      <c r="K89" s="7" t="str">
        <f t="shared" si="2"/>
        <v>belum</v>
      </c>
      <c r="L89" s="7">
        <f t="shared" si="3"/>
        <v>0</v>
      </c>
      <c r="M89" s="6">
        <f t="shared" si="4"/>
        <v>44000000</v>
      </c>
    </row>
    <row r="90">
      <c r="A90" s="2">
        <v>89.0</v>
      </c>
      <c r="B90" s="2" t="s">
        <v>166</v>
      </c>
      <c r="C90" s="2" t="s">
        <v>167</v>
      </c>
      <c r="D90" s="4">
        <v>36898.0</v>
      </c>
      <c r="E90" s="2" t="s">
        <v>151</v>
      </c>
      <c r="F90" s="2" t="s">
        <v>162</v>
      </c>
      <c r="G90" s="2">
        <v>12.0</v>
      </c>
      <c r="H90" s="2" t="s">
        <v>163</v>
      </c>
      <c r="I90" s="5">
        <v>1000000.0</v>
      </c>
      <c r="J90" s="6">
        <f t="shared" si="1"/>
        <v>12000000</v>
      </c>
      <c r="K90" s="7" t="str">
        <f t="shared" si="2"/>
        <v>belum</v>
      </c>
      <c r="L90" s="7">
        <f t="shared" si="3"/>
        <v>0</v>
      </c>
      <c r="M90" s="6">
        <f t="shared" si="4"/>
        <v>12000000</v>
      </c>
    </row>
    <row r="91">
      <c r="A91" s="2">
        <v>90.0</v>
      </c>
      <c r="B91" s="2" t="s">
        <v>168</v>
      </c>
      <c r="C91" s="2" t="s">
        <v>169</v>
      </c>
      <c r="D91" s="4">
        <v>36898.0</v>
      </c>
      <c r="E91" s="2" t="s">
        <v>151</v>
      </c>
      <c r="F91" s="2" t="s">
        <v>162</v>
      </c>
      <c r="G91" s="2">
        <v>42.0</v>
      </c>
      <c r="H91" s="2" t="s">
        <v>163</v>
      </c>
      <c r="I91" s="5">
        <v>2250000.0</v>
      </c>
      <c r="J91" s="6">
        <f t="shared" si="1"/>
        <v>94500000</v>
      </c>
      <c r="K91" s="7" t="str">
        <f t="shared" si="2"/>
        <v>belum</v>
      </c>
      <c r="L91" s="7">
        <f t="shared" si="3"/>
        <v>0</v>
      </c>
      <c r="M91" s="6">
        <f t="shared" si="4"/>
        <v>94500000</v>
      </c>
    </row>
    <row r="92">
      <c r="A92" s="2">
        <v>91.0</v>
      </c>
      <c r="B92" s="2" t="s">
        <v>170</v>
      </c>
      <c r="C92" s="2" t="s">
        <v>169</v>
      </c>
      <c r="D92" s="4">
        <v>36898.0</v>
      </c>
      <c r="E92" s="2" t="s">
        <v>151</v>
      </c>
      <c r="F92" s="2" t="s">
        <v>162</v>
      </c>
      <c r="G92" s="2">
        <v>14.0</v>
      </c>
      <c r="H92" s="2" t="s">
        <v>163</v>
      </c>
      <c r="I92" s="5">
        <v>2250000.0</v>
      </c>
      <c r="J92" s="6">
        <f t="shared" si="1"/>
        <v>31500000</v>
      </c>
      <c r="K92" s="7" t="str">
        <f t="shared" si="2"/>
        <v>belum</v>
      </c>
      <c r="L92" s="7">
        <f t="shared" si="3"/>
        <v>0</v>
      </c>
      <c r="M92" s="6">
        <f t="shared" si="4"/>
        <v>31500000</v>
      </c>
    </row>
    <row r="93">
      <c r="A93" s="2">
        <v>92.0</v>
      </c>
      <c r="B93" s="2" t="s">
        <v>171</v>
      </c>
      <c r="C93" s="2" t="s">
        <v>172</v>
      </c>
      <c r="D93" s="4">
        <v>36898.0</v>
      </c>
      <c r="E93" s="2" t="s">
        <v>151</v>
      </c>
      <c r="F93" s="2" t="s">
        <v>162</v>
      </c>
      <c r="G93" s="2">
        <v>48.0</v>
      </c>
      <c r="H93" s="2" t="s">
        <v>163</v>
      </c>
      <c r="I93" s="5">
        <v>155000.0</v>
      </c>
      <c r="J93" s="6">
        <f t="shared" si="1"/>
        <v>7440000</v>
      </c>
      <c r="K93" s="7" t="str">
        <f t="shared" si="2"/>
        <v>belum</v>
      </c>
      <c r="L93" s="7">
        <f t="shared" si="3"/>
        <v>0</v>
      </c>
      <c r="M93" s="6">
        <f t="shared" si="4"/>
        <v>7440000</v>
      </c>
    </row>
    <row r="94">
      <c r="A94" s="2">
        <v>93.0</v>
      </c>
      <c r="B94" s="2" t="s">
        <v>173</v>
      </c>
      <c r="C94" s="2" t="s">
        <v>174</v>
      </c>
      <c r="D94" s="4">
        <v>36898.0</v>
      </c>
      <c r="E94" s="2" t="s">
        <v>151</v>
      </c>
      <c r="F94" s="2" t="s">
        <v>162</v>
      </c>
      <c r="G94" s="2">
        <v>48.0</v>
      </c>
      <c r="H94" s="2" t="s">
        <v>163</v>
      </c>
      <c r="I94" s="5">
        <v>5400.0</v>
      </c>
      <c r="J94" s="6">
        <f t="shared" si="1"/>
        <v>259200</v>
      </c>
      <c r="K94" s="7" t="str">
        <f t="shared" si="2"/>
        <v>belum</v>
      </c>
      <c r="L94" s="7">
        <f t="shared" si="3"/>
        <v>0</v>
      </c>
      <c r="M94" s="6">
        <f t="shared" si="4"/>
        <v>259200</v>
      </c>
    </row>
    <row r="95">
      <c r="A95" s="2">
        <v>94.0</v>
      </c>
      <c r="B95" s="2" t="s">
        <v>173</v>
      </c>
      <c r="C95" s="2" t="s">
        <v>175</v>
      </c>
      <c r="D95" s="4">
        <v>36898.0</v>
      </c>
      <c r="E95" s="2" t="s">
        <v>151</v>
      </c>
      <c r="F95" s="2" t="s">
        <v>162</v>
      </c>
      <c r="G95" s="2">
        <v>12.0</v>
      </c>
      <c r="H95" s="2" t="s">
        <v>163</v>
      </c>
      <c r="I95" s="5">
        <v>5400.0</v>
      </c>
      <c r="J95" s="6">
        <f t="shared" si="1"/>
        <v>64800</v>
      </c>
      <c r="K95" s="7" t="str">
        <f t="shared" si="2"/>
        <v>belum</v>
      </c>
      <c r="L95" s="7">
        <f t="shared" si="3"/>
        <v>0</v>
      </c>
      <c r="M95" s="6">
        <f t="shared" si="4"/>
        <v>64800</v>
      </c>
    </row>
    <row r="96">
      <c r="A96" s="2">
        <v>95.0</v>
      </c>
      <c r="B96" s="2" t="s">
        <v>173</v>
      </c>
      <c r="C96" s="2" t="s">
        <v>176</v>
      </c>
      <c r="D96" s="4">
        <v>36898.0</v>
      </c>
      <c r="E96" s="2" t="s">
        <v>151</v>
      </c>
      <c r="F96" s="2" t="s">
        <v>162</v>
      </c>
      <c r="G96" s="2">
        <v>48.0</v>
      </c>
      <c r="H96" s="2" t="s">
        <v>163</v>
      </c>
      <c r="I96" s="5">
        <v>6750.0</v>
      </c>
      <c r="J96" s="6">
        <f t="shared" si="1"/>
        <v>324000</v>
      </c>
      <c r="K96" s="7" t="str">
        <f t="shared" si="2"/>
        <v>belum</v>
      </c>
      <c r="L96" s="7">
        <f t="shared" si="3"/>
        <v>0</v>
      </c>
      <c r="M96" s="6">
        <f t="shared" si="4"/>
        <v>324000</v>
      </c>
    </row>
    <row r="97">
      <c r="A97" s="2">
        <v>96.0</v>
      </c>
      <c r="B97" s="2" t="s">
        <v>173</v>
      </c>
      <c r="C97" s="2" t="s">
        <v>177</v>
      </c>
      <c r="D97" s="4">
        <v>36898.0</v>
      </c>
      <c r="E97" s="2" t="s">
        <v>151</v>
      </c>
      <c r="F97" s="2" t="s">
        <v>162</v>
      </c>
      <c r="G97" s="2">
        <v>12.0</v>
      </c>
      <c r="H97" s="2" t="s">
        <v>163</v>
      </c>
      <c r="I97" s="5">
        <v>6700.0</v>
      </c>
      <c r="J97" s="6">
        <f t="shared" si="1"/>
        <v>80400</v>
      </c>
      <c r="K97" s="7" t="str">
        <f t="shared" si="2"/>
        <v>belum</v>
      </c>
      <c r="L97" s="7">
        <f t="shared" si="3"/>
        <v>0</v>
      </c>
      <c r="M97" s="6">
        <f t="shared" si="4"/>
        <v>80400</v>
      </c>
    </row>
    <row r="98">
      <c r="A98" s="2">
        <v>97.0</v>
      </c>
      <c r="B98" s="2" t="s">
        <v>178</v>
      </c>
      <c r="C98" s="2" t="s">
        <v>179</v>
      </c>
      <c r="D98" s="4">
        <v>36898.0</v>
      </c>
      <c r="E98" s="2" t="s">
        <v>180</v>
      </c>
      <c r="F98" s="2" t="s">
        <v>181</v>
      </c>
      <c r="G98" s="2">
        <v>196.0</v>
      </c>
      <c r="H98" s="2" t="s">
        <v>182</v>
      </c>
      <c r="I98" s="5">
        <v>14500.0</v>
      </c>
      <c r="J98" s="6">
        <f t="shared" si="1"/>
        <v>2842000</v>
      </c>
      <c r="K98" s="7" t="str">
        <f t="shared" si="2"/>
        <v>belum</v>
      </c>
      <c r="L98" s="7">
        <f t="shared" si="3"/>
        <v>0</v>
      </c>
      <c r="M98" s="6">
        <f t="shared" si="4"/>
        <v>2842000</v>
      </c>
    </row>
    <row r="99">
      <c r="A99" s="2">
        <v>98.0</v>
      </c>
      <c r="B99" s="2" t="s">
        <v>178</v>
      </c>
      <c r="C99" s="2" t="s">
        <v>127</v>
      </c>
      <c r="D99" s="4">
        <v>36898.0</v>
      </c>
      <c r="E99" s="2" t="s">
        <v>180</v>
      </c>
      <c r="F99" s="2" t="s">
        <v>181</v>
      </c>
      <c r="G99" s="2">
        <v>9100.0</v>
      </c>
      <c r="H99" s="2" t="s">
        <v>129</v>
      </c>
      <c r="I99" s="9">
        <v>1.0</v>
      </c>
      <c r="J99" s="6">
        <f t="shared" si="1"/>
        <v>9100</v>
      </c>
      <c r="K99" s="7" t="str">
        <f t="shared" si="2"/>
        <v>belum</v>
      </c>
      <c r="L99" s="7">
        <f t="shared" si="3"/>
        <v>0</v>
      </c>
      <c r="M99" s="6">
        <f t="shared" si="4"/>
        <v>9100</v>
      </c>
    </row>
    <row r="100">
      <c r="A100" s="2">
        <v>99.0</v>
      </c>
      <c r="B100" s="2" t="s">
        <v>183</v>
      </c>
      <c r="C100" s="2" t="s">
        <v>184</v>
      </c>
      <c r="D100" s="4">
        <v>36898.0</v>
      </c>
      <c r="E100" s="2" t="s">
        <v>180</v>
      </c>
      <c r="F100" s="2" t="s">
        <v>181</v>
      </c>
      <c r="G100" s="2">
        <v>7.0</v>
      </c>
      <c r="H100" s="2" t="s">
        <v>185</v>
      </c>
      <c r="I100" s="5">
        <v>550000.0</v>
      </c>
      <c r="J100" s="6">
        <f t="shared" si="1"/>
        <v>3850000</v>
      </c>
      <c r="K100" s="7" t="str">
        <f t="shared" si="2"/>
        <v>belum</v>
      </c>
      <c r="L100" s="7">
        <f t="shared" si="3"/>
        <v>0</v>
      </c>
      <c r="M100" s="6">
        <f t="shared" si="4"/>
        <v>3850000</v>
      </c>
    </row>
    <row r="101">
      <c r="A101" s="2">
        <v>100.0</v>
      </c>
      <c r="B101" s="2" t="s">
        <v>183</v>
      </c>
      <c r="C101" s="2" t="s">
        <v>186</v>
      </c>
      <c r="D101" s="4">
        <v>36898.0</v>
      </c>
      <c r="E101" s="2" t="s">
        <v>180</v>
      </c>
      <c r="F101" s="2" t="s">
        <v>181</v>
      </c>
      <c r="G101" s="2">
        <v>1.0</v>
      </c>
      <c r="H101" s="2" t="s">
        <v>185</v>
      </c>
      <c r="I101" s="5">
        <v>1000000.0</v>
      </c>
      <c r="J101" s="6">
        <f t="shared" si="1"/>
        <v>1000000</v>
      </c>
      <c r="K101" s="7" t="str">
        <f t="shared" si="2"/>
        <v>belum</v>
      </c>
      <c r="L101" s="7">
        <f t="shared" si="3"/>
        <v>0</v>
      </c>
      <c r="M101" s="6">
        <f t="shared" si="4"/>
        <v>1000000</v>
      </c>
    </row>
    <row r="102">
      <c r="A102" s="2">
        <v>101.0</v>
      </c>
      <c r="B102" s="2" t="s">
        <v>183</v>
      </c>
      <c r="C102" s="2" t="s">
        <v>187</v>
      </c>
      <c r="D102" s="4">
        <v>36898.0</v>
      </c>
      <c r="E102" s="2" t="s">
        <v>180</v>
      </c>
      <c r="F102" s="2" t="s">
        <v>181</v>
      </c>
      <c r="G102" s="2">
        <v>3.0</v>
      </c>
      <c r="H102" s="2" t="s">
        <v>185</v>
      </c>
      <c r="I102" s="5">
        <v>2000000.0</v>
      </c>
      <c r="J102" s="6">
        <f t="shared" si="1"/>
        <v>6000000</v>
      </c>
      <c r="K102" s="7" t="str">
        <f t="shared" si="2"/>
        <v>belum</v>
      </c>
      <c r="L102" s="7">
        <f t="shared" si="3"/>
        <v>0</v>
      </c>
      <c r="M102" s="6">
        <f t="shared" si="4"/>
        <v>6000000</v>
      </c>
    </row>
    <row r="103">
      <c r="A103" s="2">
        <v>102.0</v>
      </c>
      <c r="B103" s="2" t="s">
        <v>188</v>
      </c>
      <c r="C103" s="2" t="s">
        <v>189</v>
      </c>
      <c r="D103" s="4">
        <v>36898.0</v>
      </c>
      <c r="E103" s="2" t="s">
        <v>180</v>
      </c>
      <c r="F103" s="2" t="s">
        <v>181</v>
      </c>
      <c r="G103" s="2">
        <v>0.45</v>
      </c>
      <c r="H103" s="2" t="s">
        <v>185</v>
      </c>
      <c r="I103" s="5">
        <v>3.669E7</v>
      </c>
      <c r="J103" s="6">
        <f t="shared" si="1"/>
        <v>16510500</v>
      </c>
      <c r="K103" s="7" t="str">
        <f t="shared" si="2"/>
        <v>belum</v>
      </c>
      <c r="L103" s="7">
        <f t="shared" si="3"/>
        <v>0</v>
      </c>
      <c r="M103" s="6">
        <f t="shared" si="4"/>
        <v>16510500</v>
      </c>
    </row>
    <row r="104">
      <c r="A104" s="2">
        <v>103.0</v>
      </c>
      <c r="B104" s="2" t="s">
        <v>188</v>
      </c>
      <c r="C104" s="2" t="s">
        <v>190</v>
      </c>
      <c r="D104" s="4">
        <v>36898.0</v>
      </c>
      <c r="E104" s="2" t="s">
        <v>180</v>
      </c>
      <c r="F104" s="2" t="s">
        <v>181</v>
      </c>
      <c r="G104" s="2">
        <v>0.36</v>
      </c>
      <c r="H104" s="2" t="s">
        <v>185</v>
      </c>
      <c r="I104" s="5">
        <v>3.669E7</v>
      </c>
      <c r="J104" s="6">
        <f t="shared" si="1"/>
        <v>13208400</v>
      </c>
      <c r="K104" s="7" t="str">
        <f t="shared" si="2"/>
        <v>belum</v>
      </c>
      <c r="L104" s="7">
        <f t="shared" si="3"/>
        <v>0</v>
      </c>
      <c r="M104" s="6">
        <f t="shared" si="4"/>
        <v>13208400</v>
      </c>
    </row>
    <row r="105">
      <c r="A105" s="2">
        <v>104.0</v>
      </c>
      <c r="B105" s="2" t="s">
        <v>191</v>
      </c>
      <c r="C105" s="2" t="s">
        <v>192</v>
      </c>
      <c r="D105" s="4">
        <v>36898.0</v>
      </c>
      <c r="E105" s="2" t="s">
        <v>180</v>
      </c>
      <c r="F105" s="2" t="s">
        <v>181</v>
      </c>
      <c r="G105" s="2">
        <v>0.5</v>
      </c>
      <c r="H105" s="2" t="s">
        <v>185</v>
      </c>
      <c r="I105" s="5">
        <v>4900000.0</v>
      </c>
      <c r="J105" s="6">
        <f t="shared" si="1"/>
        <v>2450000</v>
      </c>
      <c r="K105" s="7" t="str">
        <f t="shared" si="2"/>
        <v>belum</v>
      </c>
      <c r="L105" s="7">
        <f t="shared" si="3"/>
        <v>0</v>
      </c>
      <c r="M105" s="6">
        <f t="shared" si="4"/>
        <v>2450000</v>
      </c>
    </row>
    <row r="106">
      <c r="A106" s="2">
        <v>105.0</v>
      </c>
      <c r="B106" s="2" t="s">
        <v>193</v>
      </c>
      <c r="C106" s="2" t="s">
        <v>194</v>
      </c>
      <c r="D106" s="4">
        <v>36898.0</v>
      </c>
      <c r="E106" s="2" t="s">
        <v>180</v>
      </c>
      <c r="F106" s="2" t="s">
        <v>181</v>
      </c>
      <c r="G106" s="2">
        <v>2.8</v>
      </c>
      <c r="H106" s="2" t="s">
        <v>185</v>
      </c>
      <c r="I106" s="5">
        <v>4880000.0</v>
      </c>
      <c r="J106" s="6">
        <f t="shared" si="1"/>
        <v>13664000</v>
      </c>
      <c r="K106" s="7" t="str">
        <f t="shared" si="2"/>
        <v>belum</v>
      </c>
      <c r="L106" s="7">
        <f t="shared" si="3"/>
        <v>0</v>
      </c>
      <c r="M106" s="6">
        <f t="shared" si="4"/>
        <v>13664000</v>
      </c>
    </row>
    <row r="107">
      <c r="A107" s="2">
        <v>106.0</v>
      </c>
      <c r="B107" s="2" t="s">
        <v>195</v>
      </c>
      <c r="C107" s="2" t="s">
        <v>196</v>
      </c>
      <c r="D107" s="4">
        <v>36898.0</v>
      </c>
      <c r="E107" s="2" t="s">
        <v>180</v>
      </c>
      <c r="F107" s="2" t="s">
        <v>181</v>
      </c>
      <c r="G107" s="2">
        <v>0.6</v>
      </c>
      <c r="H107" s="2" t="s">
        <v>185</v>
      </c>
      <c r="I107" s="5">
        <v>9750000.0</v>
      </c>
      <c r="J107" s="6">
        <f t="shared" si="1"/>
        <v>5850000</v>
      </c>
      <c r="K107" s="7" t="str">
        <f t="shared" si="2"/>
        <v>belum</v>
      </c>
      <c r="L107" s="7">
        <f t="shared" si="3"/>
        <v>0</v>
      </c>
      <c r="M107" s="6">
        <f t="shared" si="4"/>
        <v>5850000</v>
      </c>
    </row>
    <row r="108">
      <c r="A108" s="2">
        <v>107.0</v>
      </c>
      <c r="B108" s="2" t="s">
        <v>197</v>
      </c>
      <c r="C108" s="2" t="s">
        <v>198</v>
      </c>
      <c r="D108" s="4">
        <v>36898.0</v>
      </c>
      <c r="E108" s="2" t="s">
        <v>180</v>
      </c>
      <c r="F108" s="2" t="s">
        <v>199</v>
      </c>
      <c r="G108" s="2">
        <v>3.0</v>
      </c>
      <c r="H108" s="2" t="s">
        <v>185</v>
      </c>
      <c r="I108" s="5">
        <v>730000.0</v>
      </c>
      <c r="J108" s="6">
        <f t="shared" si="1"/>
        <v>2190000</v>
      </c>
      <c r="K108" s="7" t="str">
        <f t="shared" si="2"/>
        <v>belum</v>
      </c>
      <c r="L108" s="7">
        <f t="shared" si="3"/>
        <v>0</v>
      </c>
      <c r="M108" s="6">
        <f t="shared" si="4"/>
        <v>2190000</v>
      </c>
    </row>
    <row r="109">
      <c r="A109" s="2">
        <v>108.0</v>
      </c>
      <c r="B109" s="2" t="s">
        <v>200</v>
      </c>
      <c r="C109" s="2" t="s">
        <v>201</v>
      </c>
      <c r="D109" s="4">
        <v>36898.0</v>
      </c>
      <c r="E109" s="2" t="s">
        <v>180</v>
      </c>
      <c r="F109" s="2" t="s">
        <v>199</v>
      </c>
      <c r="G109" s="2">
        <v>2.0</v>
      </c>
      <c r="H109" s="2" t="s">
        <v>185</v>
      </c>
      <c r="I109" s="5">
        <v>690000.0</v>
      </c>
      <c r="J109" s="6">
        <f t="shared" si="1"/>
        <v>1380000</v>
      </c>
      <c r="K109" s="7" t="str">
        <f t="shared" si="2"/>
        <v>belum</v>
      </c>
      <c r="L109" s="7">
        <f t="shared" si="3"/>
        <v>0</v>
      </c>
      <c r="M109" s="6">
        <f t="shared" si="4"/>
        <v>1380000</v>
      </c>
    </row>
    <row r="110">
      <c r="A110" s="2">
        <v>109.0</v>
      </c>
      <c r="B110" s="2" t="s">
        <v>71</v>
      </c>
      <c r="C110" s="2" t="s">
        <v>72</v>
      </c>
      <c r="D110" s="4">
        <v>37263.0</v>
      </c>
      <c r="E110" s="2" t="s">
        <v>202</v>
      </c>
      <c r="F110" s="2" t="s">
        <v>203</v>
      </c>
      <c r="G110" s="2">
        <v>50.0</v>
      </c>
      <c r="H110" s="2" t="s">
        <v>75</v>
      </c>
      <c r="I110" s="5">
        <v>21000.0</v>
      </c>
      <c r="J110" s="6">
        <f t="shared" si="1"/>
        <v>1050000</v>
      </c>
      <c r="K110" s="7" t="str">
        <f t="shared" si="2"/>
        <v>belum</v>
      </c>
      <c r="L110" s="7">
        <f t="shared" si="3"/>
        <v>0</v>
      </c>
      <c r="M110" s="6">
        <f t="shared" si="4"/>
        <v>1050000</v>
      </c>
    </row>
    <row r="111">
      <c r="A111" s="2">
        <v>110.0</v>
      </c>
      <c r="B111" s="2" t="s">
        <v>71</v>
      </c>
      <c r="C111" s="2" t="s">
        <v>76</v>
      </c>
      <c r="D111" s="4">
        <v>37263.0</v>
      </c>
      <c r="E111" s="2" t="s">
        <v>202</v>
      </c>
      <c r="F111" s="2" t="s">
        <v>203</v>
      </c>
      <c r="G111" s="2">
        <v>50.0</v>
      </c>
      <c r="H111" s="2" t="s">
        <v>75</v>
      </c>
      <c r="I111" s="5">
        <v>50000.0</v>
      </c>
      <c r="J111" s="6">
        <f t="shared" si="1"/>
        <v>2500000</v>
      </c>
      <c r="K111" s="7" t="str">
        <f t="shared" si="2"/>
        <v>belum</v>
      </c>
      <c r="L111" s="7">
        <f t="shared" si="3"/>
        <v>0</v>
      </c>
      <c r="M111" s="6">
        <f t="shared" si="4"/>
        <v>2500000</v>
      </c>
    </row>
    <row r="112">
      <c r="A112" s="2">
        <v>111.0</v>
      </c>
      <c r="B112" s="2" t="s">
        <v>71</v>
      </c>
      <c r="C112" s="2" t="s">
        <v>72</v>
      </c>
      <c r="D112" s="4">
        <v>37263.0</v>
      </c>
      <c r="E112" s="2" t="s">
        <v>204</v>
      </c>
      <c r="F112" s="2" t="s">
        <v>205</v>
      </c>
      <c r="G112" s="2">
        <v>30.0</v>
      </c>
      <c r="H112" s="2" t="s">
        <v>75</v>
      </c>
      <c r="I112" s="5">
        <v>21000.0</v>
      </c>
      <c r="J112" s="6">
        <f t="shared" si="1"/>
        <v>630000</v>
      </c>
      <c r="K112" s="7" t="str">
        <f t="shared" si="2"/>
        <v>belum</v>
      </c>
      <c r="L112" s="7">
        <f t="shared" si="3"/>
        <v>0</v>
      </c>
      <c r="M112" s="6">
        <f t="shared" si="4"/>
        <v>630000</v>
      </c>
    </row>
    <row r="113">
      <c r="A113" s="2">
        <v>112.0</v>
      </c>
      <c r="B113" s="2" t="s">
        <v>71</v>
      </c>
      <c r="C113" s="2" t="s">
        <v>76</v>
      </c>
      <c r="D113" s="4">
        <v>37263.0</v>
      </c>
      <c r="E113" s="2" t="s">
        <v>204</v>
      </c>
      <c r="F113" s="2" t="s">
        <v>205</v>
      </c>
      <c r="G113" s="2">
        <v>30.0</v>
      </c>
      <c r="H113" s="2" t="s">
        <v>75</v>
      </c>
      <c r="I113" s="5">
        <v>50000.0</v>
      </c>
      <c r="J113" s="6">
        <f t="shared" si="1"/>
        <v>1500000</v>
      </c>
      <c r="K113" s="7" t="str">
        <f t="shared" si="2"/>
        <v>belum</v>
      </c>
      <c r="L113" s="7">
        <f t="shared" si="3"/>
        <v>0</v>
      </c>
      <c r="M113" s="6">
        <f t="shared" si="4"/>
        <v>1500000</v>
      </c>
    </row>
    <row r="114">
      <c r="A114" s="2">
        <v>113.0</v>
      </c>
      <c r="B114" s="2" t="s">
        <v>206</v>
      </c>
      <c r="C114" s="2" t="s">
        <v>72</v>
      </c>
      <c r="D114" s="4">
        <v>37263.0</v>
      </c>
      <c r="E114" s="2" t="s">
        <v>204</v>
      </c>
      <c r="F114" s="2" t="s">
        <v>205</v>
      </c>
      <c r="G114" s="2">
        <v>150.0</v>
      </c>
      <c r="H114" s="2" t="s">
        <v>75</v>
      </c>
      <c r="I114" s="5">
        <v>20000.0</v>
      </c>
      <c r="J114" s="6">
        <f t="shared" si="1"/>
        <v>3000000</v>
      </c>
      <c r="K114" s="7" t="str">
        <f t="shared" si="2"/>
        <v>belum</v>
      </c>
      <c r="L114" s="7">
        <f t="shared" si="3"/>
        <v>0</v>
      </c>
      <c r="M114" s="6">
        <f t="shared" si="4"/>
        <v>3000000</v>
      </c>
    </row>
    <row r="115">
      <c r="A115" s="2">
        <v>114.0</v>
      </c>
      <c r="B115" s="2" t="s">
        <v>206</v>
      </c>
      <c r="C115" s="2" t="s">
        <v>76</v>
      </c>
      <c r="D115" s="4">
        <v>37263.0</v>
      </c>
      <c r="E115" s="2" t="s">
        <v>204</v>
      </c>
      <c r="F115" s="2" t="s">
        <v>205</v>
      </c>
      <c r="G115" s="2">
        <v>150.0</v>
      </c>
      <c r="H115" s="2" t="s">
        <v>75</v>
      </c>
      <c r="I115" s="5">
        <v>34000.0</v>
      </c>
      <c r="J115" s="6">
        <f t="shared" si="1"/>
        <v>5100000</v>
      </c>
      <c r="K115" s="7" t="str">
        <f t="shared" si="2"/>
        <v>belum</v>
      </c>
      <c r="L115" s="7">
        <f t="shared" si="3"/>
        <v>0</v>
      </c>
      <c r="M115" s="6">
        <f t="shared" si="4"/>
        <v>5100000</v>
      </c>
    </row>
    <row r="116">
      <c r="A116" s="2">
        <v>115.0</v>
      </c>
      <c r="B116" s="2" t="s">
        <v>71</v>
      </c>
      <c r="C116" s="2" t="s">
        <v>72</v>
      </c>
      <c r="D116" s="4">
        <v>37263.0</v>
      </c>
      <c r="E116" s="2" t="s">
        <v>207</v>
      </c>
      <c r="F116" s="2" t="s">
        <v>208</v>
      </c>
      <c r="G116" s="2">
        <v>275.0</v>
      </c>
      <c r="H116" s="2" t="s">
        <v>75</v>
      </c>
      <c r="I116" s="5">
        <v>21000.0</v>
      </c>
      <c r="J116" s="6">
        <f t="shared" si="1"/>
        <v>5775000</v>
      </c>
      <c r="K116" s="7" t="str">
        <f t="shared" si="2"/>
        <v>belum</v>
      </c>
      <c r="L116" s="7">
        <f t="shared" si="3"/>
        <v>0</v>
      </c>
      <c r="M116" s="6">
        <f t="shared" si="4"/>
        <v>5775000</v>
      </c>
    </row>
    <row r="117">
      <c r="A117" s="2">
        <v>116.0</v>
      </c>
      <c r="B117" s="2" t="s">
        <v>71</v>
      </c>
      <c r="C117" s="2" t="s">
        <v>76</v>
      </c>
      <c r="D117" s="4">
        <v>37263.0</v>
      </c>
      <c r="E117" s="2" t="s">
        <v>207</v>
      </c>
      <c r="F117" s="2" t="s">
        <v>208</v>
      </c>
      <c r="G117" s="2">
        <v>275.0</v>
      </c>
      <c r="H117" s="2" t="s">
        <v>75</v>
      </c>
      <c r="I117" s="5">
        <v>50000.0</v>
      </c>
      <c r="J117" s="6">
        <f t="shared" si="1"/>
        <v>13750000</v>
      </c>
      <c r="K117" s="7" t="str">
        <f t="shared" si="2"/>
        <v>belum</v>
      </c>
      <c r="L117" s="7">
        <f t="shared" si="3"/>
        <v>0</v>
      </c>
      <c r="M117" s="6">
        <f t="shared" si="4"/>
        <v>13750000</v>
      </c>
    </row>
    <row r="118">
      <c r="A118" s="2">
        <v>117.0</v>
      </c>
      <c r="B118" s="2" t="s">
        <v>71</v>
      </c>
      <c r="C118" s="2" t="s">
        <v>72</v>
      </c>
      <c r="D118" s="4">
        <v>37263.0</v>
      </c>
      <c r="E118" s="2" t="s">
        <v>207</v>
      </c>
      <c r="F118" s="2" t="s">
        <v>208</v>
      </c>
      <c r="G118" s="2">
        <v>75.0</v>
      </c>
      <c r="H118" s="2" t="s">
        <v>75</v>
      </c>
      <c r="I118" s="5">
        <v>21000.0</v>
      </c>
      <c r="J118" s="6">
        <f t="shared" si="1"/>
        <v>1575000</v>
      </c>
      <c r="K118" s="7" t="str">
        <f t="shared" si="2"/>
        <v>belum</v>
      </c>
      <c r="L118" s="7">
        <f t="shared" si="3"/>
        <v>0</v>
      </c>
      <c r="M118" s="6">
        <f t="shared" si="4"/>
        <v>1575000</v>
      </c>
    </row>
    <row r="119">
      <c r="A119" s="2">
        <v>118.0</v>
      </c>
      <c r="B119" s="2" t="s">
        <v>71</v>
      </c>
      <c r="C119" s="2" t="s">
        <v>76</v>
      </c>
      <c r="D119" s="4">
        <v>37263.0</v>
      </c>
      <c r="E119" s="2" t="s">
        <v>207</v>
      </c>
      <c r="F119" s="2" t="s">
        <v>208</v>
      </c>
      <c r="G119" s="2">
        <v>75.0</v>
      </c>
      <c r="H119" s="2" t="s">
        <v>75</v>
      </c>
      <c r="I119" s="5">
        <v>50000.0</v>
      </c>
      <c r="J119" s="6">
        <f t="shared" si="1"/>
        <v>3750000</v>
      </c>
      <c r="K119" s="7" t="str">
        <f t="shared" si="2"/>
        <v>belum</v>
      </c>
      <c r="L119" s="7">
        <f t="shared" si="3"/>
        <v>0</v>
      </c>
      <c r="M119" s="6">
        <f t="shared" si="4"/>
        <v>3750000</v>
      </c>
    </row>
    <row r="120">
      <c r="A120" s="2">
        <v>119.0</v>
      </c>
      <c r="B120" s="2" t="s">
        <v>71</v>
      </c>
      <c r="C120" s="2" t="s">
        <v>72</v>
      </c>
      <c r="D120" s="4">
        <v>37263.0</v>
      </c>
      <c r="E120" s="2" t="s">
        <v>207</v>
      </c>
      <c r="F120" s="2" t="s">
        <v>208</v>
      </c>
      <c r="G120" s="2">
        <v>75.0</v>
      </c>
      <c r="H120" s="2" t="s">
        <v>75</v>
      </c>
      <c r="I120" s="5">
        <v>21000.0</v>
      </c>
      <c r="J120" s="6">
        <f t="shared" si="1"/>
        <v>1575000</v>
      </c>
      <c r="K120" s="7" t="str">
        <f t="shared" si="2"/>
        <v>belum</v>
      </c>
      <c r="L120" s="7">
        <f t="shared" si="3"/>
        <v>0</v>
      </c>
      <c r="M120" s="6">
        <f t="shared" si="4"/>
        <v>1575000</v>
      </c>
    </row>
    <row r="121">
      <c r="A121" s="2">
        <v>120.0</v>
      </c>
      <c r="B121" s="2" t="s">
        <v>71</v>
      </c>
      <c r="C121" s="2" t="s">
        <v>76</v>
      </c>
      <c r="D121" s="4">
        <v>37263.0</v>
      </c>
      <c r="E121" s="2" t="s">
        <v>207</v>
      </c>
      <c r="F121" s="2" t="s">
        <v>208</v>
      </c>
      <c r="G121" s="2">
        <v>75.0</v>
      </c>
      <c r="H121" s="2" t="s">
        <v>75</v>
      </c>
      <c r="I121" s="5">
        <v>50000.0</v>
      </c>
      <c r="J121" s="6">
        <f t="shared" si="1"/>
        <v>3750000</v>
      </c>
      <c r="K121" s="7" t="str">
        <f t="shared" si="2"/>
        <v>belum</v>
      </c>
      <c r="L121" s="7">
        <f t="shared" si="3"/>
        <v>0</v>
      </c>
      <c r="M121" s="6">
        <f t="shared" si="4"/>
        <v>3750000</v>
      </c>
    </row>
    <row r="122">
      <c r="A122" s="2">
        <v>121.0</v>
      </c>
      <c r="B122" s="2" t="s">
        <v>71</v>
      </c>
      <c r="C122" s="2" t="s">
        <v>72</v>
      </c>
      <c r="D122" s="4">
        <v>37263.0</v>
      </c>
      <c r="E122" s="2" t="s">
        <v>207</v>
      </c>
      <c r="F122" s="2" t="s">
        <v>208</v>
      </c>
      <c r="G122" s="2">
        <v>75.0</v>
      </c>
      <c r="H122" s="2" t="s">
        <v>75</v>
      </c>
      <c r="I122" s="5">
        <v>21000.0</v>
      </c>
      <c r="J122" s="6">
        <f t="shared" si="1"/>
        <v>1575000</v>
      </c>
      <c r="K122" s="7" t="str">
        <f t="shared" si="2"/>
        <v>belum</v>
      </c>
      <c r="L122" s="7">
        <f t="shared" si="3"/>
        <v>0</v>
      </c>
      <c r="M122" s="6">
        <f t="shared" si="4"/>
        <v>1575000</v>
      </c>
    </row>
    <row r="123">
      <c r="A123" s="2">
        <v>122.0</v>
      </c>
      <c r="B123" s="2" t="s">
        <v>71</v>
      </c>
      <c r="C123" s="2" t="s">
        <v>76</v>
      </c>
      <c r="D123" s="4">
        <v>37263.0</v>
      </c>
      <c r="E123" s="2" t="s">
        <v>207</v>
      </c>
      <c r="F123" s="2" t="s">
        <v>208</v>
      </c>
      <c r="G123" s="2">
        <v>75.0</v>
      </c>
      <c r="H123" s="2" t="s">
        <v>75</v>
      </c>
      <c r="I123" s="5">
        <v>50000.0</v>
      </c>
      <c r="J123" s="6">
        <f t="shared" si="1"/>
        <v>3750000</v>
      </c>
      <c r="K123" s="7" t="str">
        <f t="shared" si="2"/>
        <v>belum</v>
      </c>
      <c r="L123" s="7">
        <f t="shared" si="3"/>
        <v>0</v>
      </c>
      <c r="M123" s="6">
        <f t="shared" si="4"/>
        <v>3750000</v>
      </c>
    </row>
    <row r="124">
      <c r="A124" s="2">
        <v>123.0</v>
      </c>
      <c r="B124" s="2" t="s">
        <v>71</v>
      </c>
      <c r="C124" s="2" t="s">
        <v>72</v>
      </c>
      <c r="D124" s="4">
        <v>37263.0</v>
      </c>
      <c r="E124" s="2" t="s">
        <v>207</v>
      </c>
      <c r="F124" s="2" t="s">
        <v>208</v>
      </c>
      <c r="G124" s="2">
        <v>75.0</v>
      </c>
      <c r="H124" s="2" t="s">
        <v>75</v>
      </c>
      <c r="I124" s="5">
        <v>21000.0</v>
      </c>
      <c r="J124" s="6">
        <f t="shared" si="1"/>
        <v>1575000</v>
      </c>
      <c r="K124" s="7" t="str">
        <f t="shared" si="2"/>
        <v>belum</v>
      </c>
      <c r="L124" s="7">
        <f t="shared" si="3"/>
        <v>0</v>
      </c>
      <c r="M124" s="6">
        <f t="shared" si="4"/>
        <v>1575000</v>
      </c>
    </row>
    <row r="125">
      <c r="A125" s="2">
        <v>124.0</v>
      </c>
      <c r="B125" s="2" t="s">
        <v>71</v>
      </c>
      <c r="C125" s="2" t="s">
        <v>76</v>
      </c>
      <c r="D125" s="4">
        <v>37263.0</v>
      </c>
      <c r="E125" s="2" t="s">
        <v>207</v>
      </c>
      <c r="F125" s="2" t="s">
        <v>208</v>
      </c>
      <c r="G125" s="2">
        <v>75.0</v>
      </c>
      <c r="H125" s="2" t="s">
        <v>75</v>
      </c>
      <c r="I125" s="5">
        <v>50000.0</v>
      </c>
      <c r="J125" s="6">
        <f t="shared" si="1"/>
        <v>3750000</v>
      </c>
      <c r="K125" s="7" t="str">
        <f t="shared" si="2"/>
        <v>belum</v>
      </c>
      <c r="L125" s="7">
        <f t="shared" si="3"/>
        <v>0</v>
      </c>
      <c r="M125" s="6">
        <f t="shared" si="4"/>
        <v>3750000</v>
      </c>
    </row>
    <row r="126">
      <c r="A126" s="2">
        <v>125.0</v>
      </c>
      <c r="B126" s="2" t="s">
        <v>71</v>
      </c>
      <c r="C126" s="2" t="s">
        <v>72</v>
      </c>
      <c r="D126" s="4">
        <v>37263.0</v>
      </c>
      <c r="E126" s="2" t="s">
        <v>207</v>
      </c>
      <c r="F126" s="2" t="s">
        <v>208</v>
      </c>
      <c r="G126" s="2">
        <v>75.0</v>
      </c>
      <c r="H126" s="2" t="s">
        <v>75</v>
      </c>
      <c r="I126" s="5">
        <v>21000.0</v>
      </c>
      <c r="J126" s="6">
        <f t="shared" si="1"/>
        <v>1575000</v>
      </c>
      <c r="K126" s="7" t="str">
        <f t="shared" si="2"/>
        <v>belum</v>
      </c>
      <c r="L126" s="7">
        <f t="shared" si="3"/>
        <v>0</v>
      </c>
      <c r="M126" s="6">
        <f t="shared" si="4"/>
        <v>1575000</v>
      </c>
    </row>
    <row r="127">
      <c r="A127" s="2">
        <v>126.0</v>
      </c>
      <c r="B127" s="2" t="s">
        <v>71</v>
      </c>
      <c r="C127" s="2" t="s">
        <v>76</v>
      </c>
      <c r="D127" s="4">
        <v>37263.0</v>
      </c>
      <c r="E127" s="2" t="s">
        <v>207</v>
      </c>
      <c r="F127" s="2" t="s">
        <v>208</v>
      </c>
      <c r="G127" s="2">
        <v>75.0</v>
      </c>
      <c r="H127" s="2" t="s">
        <v>75</v>
      </c>
      <c r="I127" s="5">
        <v>50000.0</v>
      </c>
      <c r="J127" s="6">
        <f t="shared" si="1"/>
        <v>3750000</v>
      </c>
      <c r="K127" s="7" t="str">
        <f t="shared" si="2"/>
        <v>belum</v>
      </c>
      <c r="L127" s="7">
        <f t="shared" si="3"/>
        <v>0</v>
      </c>
      <c r="M127" s="6">
        <f t="shared" si="4"/>
        <v>3750000</v>
      </c>
    </row>
    <row r="128">
      <c r="A128" s="2">
        <v>127.0</v>
      </c>
      <c r="B128" s="2" t="s">
        <v>71</v>
      </c>
      <c r="C128" s="2" t="s">
        <v>72</v>
      </c>
      <c r="D128" s="4">
        <v>37263.0</v>
      </c>
      <c r="E128" s="2" t="s">
        <v>207</v>
      </c>
      <c r="F128" s="2" t="s">
        <v>208</v>
      </c>
      <c r="G128" s="2">
        <v>75.0</v>
      </c>
      <c r="H128" s="2" t="s">
        <v>75</v>
      </c>
      <c r="I128" s="5">
        <v>21000.0</v>
      </c>
      <c r="J128" s="6">
        <f t="shared" si="1"/>
        <v>1575000</v>
      </c>
      <c r="K128" s="7" t="str">
        <f t="shared" si="2"/>
        <v>belum</v>
      </c>
      <c r="L128" s="7">
        <f t="shared" si="3"/>
        <v>0</v>
      </c>
      <c r="M128" s="6">
        <f t="shared" si="4"/>
        <v>1575000</v>
      </c>
    </row>
    <row r="129">
      <c r="A129" s="2">
        <v>128.0</v>
      </c>
      <c r="B129" s="2" t="s">
        <v>71</v>
      </c>
      <c r="C129" s="2" t="s">
        <v>76</v>
      </c>
      <c r="D129" s="4">
        <v>37263.0</v>
      </c>
      <c r="E129" s="2" t="s">
        <v>207</v>
      </c>
      <c r="F129" s="2" t="s">
        <v>208</v>
      </c>
      <c r="G129" s="2">
        <v>75.0</v>
      </c>
      <c r="H129" s="2" t="s">
        <v>75</v>
      </c>
      <c r="I129" s="5">
        <v>50000.0</v>
      </c>
      <c r="J129" s="6">
        <f t="shared" si="1"/>
        <v>3750000</v>
      </c>
      <c r="K129" s="7" t="str">
        <f t="shared" si="2"/>
        <v>belum</v>
      </c>
      <c r="L129" s="7">
        <f t="shared" si="3"/>
        <v>0</v>
      </c>
      <c r="M129" s="6">
        <f t="shared" si="4"/>
        <v>3750000</v>
      </c>
    </row>
    <row r="130">
      <c r="A130" s="2">
        <v>129.0</v>
      </c>
      <c r="B130" s="2" t="s">
        <v>71</v>
      </c>
      <c r="C130" s="2" t="s">
        <v>72</v>
      </c>
      <c r="D130" s="4">
        <v>37263.0</v>
      </c>
      <c r="E130" s="2" t="s">
        <v>207</v>
      </c>
      <c r="F130" s="2" t="s">
        <v>208</v>
      </c>
      <c r="G130" s="2">
        <v>75.0</v>
      </c>
      <c r="H130" s="2" t="s">
        <v>75</v>
      </c>
      <c r="I130" s="5">
        <v>21000.0</v>
      </c>
      <c r="J130" s="6">
        <f t="shared" si="1"/>
        <v>1575000</v>
      </c>
      <c r="K130" s="7" t="str">
        <f t="shared" si="2"/>
        <v>belum</v>
      </c>
      <c r="L130" s="7">
        <f t="shared" si="3"/>
        <v>0</v>
      </c>
      <c r="M130" s="6">
        <f t="shared" si="4"/>
        <v>1575000</v>
      </c>
    </row>
    <row r="131">
      <c r="A131" s="2">
        <v>130.0</v>
      </c>
      <c r="B131" s="2" t="s">
        <v>71</v>
      </c>
      <c r="C131" s="2" t="s">
        <v>76</v>
      </c>
      <c r="D131" s="4">
        <v>37263.0</v>
      </c>
      <c r="E131" s="2" t="s">
        <v>207</v>
      </c>
      <c r="F131" s="2" t="s">
        <v>208</v>
      </c>
      <c r="G131" s="2">
        <v>75.0</v>
      </c>
      <c r="H131" s="2" t="s">
        <v>75</v>
      </c>
      <c r="I131" s="5">
        <v>50000.0</v>
      </c>
      <c r="J131" s="6">
        <f t="shared" si="1"/>
        <v>3750000</v>
      </c>
      <c r="K131" s="7" t="str">
        <f t="shared" si="2"/>
        <v>belum</v>
      </c>
      <c r="L131" s="7">
        <f t="shared" si="3"/>
        <v>0</v>
      </c>
      <c r="M131" s="6">
        <f t="shared" si="4"/>
        <v>3750000</v>
      </c>
    </row>
    <row r="132">
      <c r="A132" s="2">
        <v>131.0</v>
      </c>
      <c r="B132" s="2" t="s">
        <v>71</v>
      </c>
      <c r="C132" s="2" t="s">
        <v>72</v>
      </c>
      <c r="D132" s="4">
        <v>37263.0</v>
      </c>
      <c r="E132" s="2" t="s">
        <v>207</v>
      </c>
      <c r="F132" s="2" t="s">
        <v>208</v>
      </c>
      <c r="G132" s="2">
        <v>137.0</v>
      </c>
      <c r="H132" s="2" t="s">
        <v>75</v>
      </c>
      <c r="I132" s="5">
        <v>21000.0</v>
      </c>
      <c r="J132" s="6">
        <f t="shared" si="1"/>
        <v>2877000</v>
      </c>
      <c r="K132" s="7" t="str">
        <f t="shared" si="2"/>
        <v>belum</v>
      </c>
      <c r="L132" s="7">
        <f t="shared" si="3"/>
        <v>0</v>
      </c>
      <c r="M132" s="6">
        <f t="shared" si="4"/>
        <v>2877000</v>
      </c>
    </row>
    <row r="133">
      <c r="A133" s="2">
        <v>132.0</v>
      </c>
      <c r="B133" s="2" t="s">
        <v>71</v>
      </c>
      <c r="C133" s="2" t="s">
        <v>76</v>
      </c>
      <c r="D133" s="4">
        <v>37263.0</v>
      </c>
      <c r="E133" s="2" t="s">
        <v>207</v>
      </c>
      <c r="F133" s="2" t="s">
        <v>208</v>
      </c>
      <c r="G133" s="2">
        <v>137.0</v>
      </c>
      <c r="H133" s="2" t="s">
        <v>75</v>
      </c>
      <c r="I133" s="5">
        <v>50000.0</v>
      </c>
      <c r="J133" s="6">
        <f t="shared" si="1"/>
        <v>6850000</v>
      </c>
      <c r="K133" s="7" t="str">
        <f t="shared" si="2"/>
        <v>belum</v>
      </c>
      <c r="L133" s="7">
        <f t="shared" si="3"/>
        <v>0</v>
      </c>
      <c r="M133" s="6">
        <f t="shared" si="4"/>
        <v>6850000</v>
      </c>
    </row>
    <row r="134">
      <c r="A134" s="2">
        <v>133.0</v>
      </c>
      <c r="B134" s="2" t="s">
        <v>71</v>
      </c>
      <c r="C134" s="2" t="s">
        <v>127</v>
      </c>
      <c r="D134" s="4">
        <v>37263.0</v>
      </c>
      <c r="E134" s="2" t="s">
        <v>207</v>
      </c>
      <c r="F134" s="2" t="s">
        <v>208</v>
      </c>
      <c r="G134" s="2">
        <v>53000.0</v>
      </c>
      <c r="H134" s="2" t="s">
        <v>129</v>
      </c>
      <c r="I134" s="9">
        <v>1.0</v>
      </c>
      <c r="J134" s="6">
        <f t="shared" si="1"/>
        <v>53000</v>
      </c>
      <c r="K134" s="7" t="str">
        <f t="shared" si="2"/>
        <v>belum</v>
      </c>
      <c r="L134" s="7">
        <f t="shared" si="3"/>
        <v>0</v>
      </c>
      <c r="M134" s="6">
        <f t="shared" si="4"/>
        <v>53000</v>
      </c>
    </row>
    <row r="135">
      <c r="A135" s="2">
        <v>134.0</v>
      </c>
      <c r="B135" s="2" t="s">
        <v>206</v>
      </c>
      <c r="C135" s="2" t="s">
        <v>209</v>
      </c>
      <c r="D135" s="4">
        <v>37263.0</v>
      </c>
      <c r="E135" s="2" t="s">
        <v>207</v>
      </c>
      <c r="F135" s="2" t="s">
        <v>208</v>
      </c>
      <c r="G135" s="2">
        <v>300.0</v>
      </c>
      <c r="H135" s="2" t="s">
        <v>75</v>
      </c>
      <c r="I135" s="5">
        <v>20000.0</v>
      </c>
      <c r="J135" s="6">
        <f t="shared" si="1"/>
        <v>6000000</v>
      </c>
      <c r="K135" s="7" t="str">
        <f t="shared" si="2"/>
        <v>belum</v>
      </c>
      <c r="L135" s="7">
        <f t="shared" si="3"/>
        <v>0</v>
      </c>
      <c r="M135" s="6">
        <f t="shared" si="4"/>
        <v>6000000</v>
      </c>
    </row>
    <row r="136">
      <c r="A136" s="2">
        <v>135.0</v>
      </c>
      <c r="B136" s="2" t="s">
        <v>206</v>
      </c>
      <c r="C136" s="2" t="s">
        <v>210</v>
      </c>
      <c r="D136" s="4">
        <v>37263.0</v>
      </c>
      <c r="E136" s="2" t="s">
        <v>207</v>
      </c>
      <c r="F136" s="2" t="s">
        <v>208</v>
      </c>
      <c r="G136" s="2">
        <v>300.0</v>
      </c>
      <c r="H136" s="2" t="s">
        <v>75</v>
      </c>
      <c r="I136" s="5">
        <v>34000.0</v>
      </c>
      <c r="J136" s="6">
        <f t="shared" si="1"/>
        <v>10200000</v>
      </c>
      <c r="K136" s="7" t="str">
        <f t="shared" si="2"/>
        <v>belum</v>
      </c>
      <c r="L136" s="7">
        <f t="shared" si="3"/>
        <v>0</v>
      </c>
      <c r="M136" s="6">
        <f t="shared" si="4"/>
        <v>10200000</v>
      </c>
    </row>
    <row r="137">
      <c r="A137" s="2">
        <v>136.0</v>
      </c>
      <c r="B137" s="2" t="s">
        <v>211</v>
      </c>
      <c r="C137" s="2" t="s">
        <v>212</v>
      </c>
      <c r="D137" s="4">
        <v>37263.0</v>
      </c>
      <c r="E137" s="2" t="s">
        <v>207</v>
      </c>
      <c r="F137" s="2" t="s">
        <v>208</v>
      </c>
      <c r="G137" s="2">
        <v>3.0</v>
      </c>
      <c r="H137" s="2" t="s">
        <v>213</v>
      </c>
      <c r="I137" s="5">
        <v>1400000.0</v>
      </c>
      <c r="J137" s="6">
        <f t="shared" si="1"/>
        <v>4200000</v>
      </c>
      <c r="K137" s="7" t="str">
        <f t="shared" si="2"/>
        <v>belum</v>
      </c>
      <c r="L137" s="7">
        <f t="shared" si="3"/>
        <v>0</v>
      </c>
      <c r="M137" s="6">
        <f t="shared" si="4"/>
        <v>4200000</v>
      </c>
    </row>
    <row r="138">
      <c r="A138" s="2">
        <v>137.0</v>
      </c>
      <c r="B138" s="2" t="s">
        <v>214</v>
      </c>
      <c r="C138" s="2" t="s">
        <v>215</v>
      </c>
      <c r="D138" s="4">
        <v>37263.0</v>
      </c>
      <c r="E138" s="2" t="s">
        <v>207</v>
      </c>
      <c r="F138" s="2" t="s">
        <v>208</v>
      </c>
      <c r="G138" s="2">
        <v>1.0</v>
      </c>
      <c r="H138" s="2" t="s">
        <v>216</v>
      </c>
      <c r="I138" s="10">
        <v>2000000.0</v>
      </c>
      <c r="J138" s="6">
        <f t="shared" si="1"/>
        <v>2000000</v>
      </c>
      <c r="K138" s="7" t="str">
        <f t="shared" si="2"/>
        <v>belum</v>
      </c>
      <c r="L138" s="7">
        <f t="shared" si="3"/>
        <v>0</v>
      </c>
      <c r="M138" s="6">
        <f t="shared" si="4"/>
        <v>2000000</v>
      </c>
    </row>
    <row r="139">
      <c r="A139" s="2">
        <v>138.0</v>
      </c>
      <c r="B139" s="2" t="s">
        <v>217</v>
      </c>
      <c r="C139" s="2" t="s">
        <v>218</v>
      </c>
      <c r="D139" s="4">
        <v>37263.0</v>
      </c>
      <c r="E139" s="2" t="s">
        <v>207</v>
      </c>
      <c r="F139" s="2" t="s">
        <v>208</v>
      </c>
      <c r="G139" s="2">
        <v>20.0</v>
      </c>
      <c r="H139" s="2" t="s">
        <v>17</v>
      </c>
      <c r="I139" s="5">
        <v>71000.0</v>
      </c>
      <c r="J139" s="6">
        <f t="shared" si="1"/>
        <v>1420000</v>
      </c>
      <c r="K139" s="7" t="str">
        <f t="shared" si="2"/>
        <v>belum</v>
      </c>
      <c r="L139" s="7">
        <f t="shared" si="3"/>
        <v>0</v>
      </c>
      <c r="M139" s="6">
        <f t="shared" si="4"/>
        <v>1420000</v>
      </c>
    </row>
    <row r="140">
      <c r="A140" s="2">
        <v>139.0</v>
      </c>
      <c r="B140" s="2" t="s">
        <v>217</v>
      </c>
      <c r="C140" s="2" t="s">
        <v>219</v>
      </c>
      <c r="D140" s="4">
        <v>37263.0</v>
      </c>
      <c r="E140" s="2" t="s">
        <v>207</v>
      </c>
      <c r="F140" s="2" t="s">
        <v>208</v>
      </c>
      <c r="G140" s="2">
        <v>100.0</v>
      </c>
      <c r="H140" s="2" t="s">
        <v>17</v>
      </c>
      <c r="I140" s="5">
        <v>176000.0</v>
      </c>
      <c r="J140" s="6">
        <f t="shared" si="1"/>
        <v>17600000</v>
      </c>
      <c r="K140" s="7" t="str">
        <f t="shared" si="2"/>
        <v>belum</v>
      </c>
      <c r="L140" s="7">
        <f t="shared" si="3"/>
        <v>0</v>
      </c>
      <c r="M140" s="6">
        <f t="shared" si="4"/>
        <v>17600000</v>
      </c>
    </row>
    <row r="141">
      <c r="A141" s="2">
        <v>140.0</v>
      </c>
      <c r="B141" s="2" t="s">
        <v>13</v>
      </c>
      <c r="C141" s="2" t="s">
        <v>14</v>
      </c>
      <c r="D141" s="4">
        <v>37263.0</v>
      </c>
      <c r="E141" s="2" t="s">
        <v>207</v>
      </c>
      <c r="F141" s="2" t="s">
        <v>208</v>
      </c>
      <c r="G141" s="2">
        <v>30.0</v>
      </c>
      <c r="H141" s="2" t="s">
        <v>17</v>
      </c>
      <c r="I141" s="5">
        <v>170000.0</v>
      </c>
      <c r="J141" s="6">
        <f t="shared" si="1"/>
        <v>5100000</v>
      </c>
      <c r="K141" s="7" t="str">
        <f t="shared" si="2"/>
        <v>belum</v>
      </c>
      <c r="L141" s="7">
        <f t="shared" si="3"/>
        <v>0</v>
      </c>
      <c r="M141" s="6">
        <f t="shared" si="4"/>
        <v>5100000</v>
      </c>
    </row>
    <row r="142">
      <c r="A142" s="2">
        <v>141.0</v>
      </c>
      <c r="B142" s="2" t="s">
        <v>13</v>
      </c>
      <c r="C142" s="2" t="s">
        <v>220</v>
      </c>
      <c r="D142" s="4">
        <v>37263.0</v>
      </c>
      <c r="E142" s="2" t="s">
        <v>207</v>
      </c>
      <c r="F142" s="2" t="s">
        <v>208</v>
      </c>
      <c r="G142" s="2">
        <v>50.0</v>
      </c>
      <c r="H142" s="2" t="s">
        <v>221</v>
      </c>
      <c r="I142" s="5">
        <v>150000.0</v>
      </c>
      <c r="J142" s="6">
        <f t="shared" si="1"/>
        <v>7500000</v>
      </c>
      <c r="K142" s="7" t="str">
        <f t="shared" si="2"/>
        <v>belum</v>
      </c>
      <c r="L142" s="7">
        <f t="shared" si="3"/>
        <v>0</v>
      </c>
      <c r="M142" s="6">
        <f t="shared" si="4"/>
        <v>7500000</v>
      </c>
    </row>
    <row r="143">
      <c r="A143" s="2">
        <v>142.0</v>
      </c>
      <c r="B143" s="2" t="s">
        <v>71</v>
      </c>
      <c r="C143" s="2" t="s">
        <v>72</v>
      </c>
      <c r="D143" s="4">
        <v>37628.0</v>
      </c>
      <c r="E143" s="2" t="s">
        <v>222</v>
      </c>
      <c r="F143" s="2" t="s">
        <v>223</v>
      </c>
      <c r="G143" s="2">
        <v>50.0</v>
      </c>
      <c r="H143" s="2" t="s">
        <v>75</v>
      </c>
      <c r="I143" s="5">
        <v>21000.0</v>
      </c>
      <c r="J143" s="6">
        <f t="shared" si="1"/>
        <v>1050000</v>
      </c>
      <c r="K143" s="7" t="str">
        <f t="shared" si="2"/>
        <v>belum</v>
      </c>
      <c r="L143" s="7">
        <f t="shared" si="3"/>
        <v>0</v>
      </c>
      <c r="M143" s="6">
        <f t="shared" si="4"/>
        <v>1050000</v>
      </c>
    </row>
    <row r="144">
      <c r="A144" s="2">
        <v>143.0</v>
      </c>
      <c r="B144" s="2" t="s">
        <v>71</v>
      </c>
      <c r="C144" s="2" t="s">
        <v>76</v>
      </c>
      <c r="D144" s="4">
        <v>37628.0</v>
      </c>
      <c r="E144" s="2" t="s">
        <v>222</v>
      </c>
      <c r="F144" s="2" t="s">
        <v>223</v>
      </c>
      <c r="G144" s="2">
        <v>50.0</v>
      </c>
      <c r="H144" s="2" t="s">
        <v>75</v>
      </c>
      <c r="I144" s="5">
        <v>50000.0</v>
      </c>
      <c r="J144" s="6">
        <f t="shared" si="1"/>
        <v>2500000</v>
      </c>
      <c r="K144" s="7" t="str">
        <f t="shared" si="2"/>
        <v>belum</v>
      </c>
      <c r="L144" s="7">
        <f t="shared" si="3"/>
        <v>0</v>
      </c>
      <c r="M144" s="6">
        <f t="shared" si="4"/>
        <v>2500000</v>
      </c>
    </row>
    <row r="145">
      <c r="A145" s="2">
        <v>144.0</v>
      </c>
      <c r="B145" s="2" t="s">
        <v>71</v>
      </c>
      <c r="C145" s="2" t="s">
        <v>72</v>
      </c>
      <c r="D145" s="4">
        <v>37628.0</v>
      </c>
      <c r="E145" s="2" t="s">
        <v>222</v>
      </c>
      <c r="F145" s="2" t="s">
        <v>224</v>
      </c>
      <c r="G145" s="2">
        <v>370.0</v>
      </c>
      <c r="H145" s="2" t="s">
        <v>75</v>
      </c>
      <c r="I145" s="5">
        <v>21000.0</v>
      </c>
      <c r="J145" s="6">
        <f t="shared" si="1"/>
        <v>7770000</v>
      </c>
      <c r="K145" s="7" t="str">
        <f t="shared" si="2"/>
        <v>belum</v>
      </c>
      <c r="L145" s="7">
        <f t="shared" si="3"/>
        <v>0</v>
      </c>
      <c r="M145" s="6">
        <f t="shared" si="4"/>
        <v>7770000</v>
      </c>
    </row>
    <row r="146">
      <c r="A146" s="2">
        <v>145.0</v>
      </c>
      <c r="B146" s="2" t="s">
        <v>71</v>
      </c>
      <c r="C146" s="2" t="s">
        <v>76</v>
      </c>
      <c r="D146" s="4">
        <v>37628.0</v>
      </c>
      <c r="E146" s="2" t="s">
        <v>222</v>
      </c>
      <c r="F146" s="2" t="s">
        <v>224</v>
      </c>
      <c r="G146" s="2">
        <v>370.0</v>
      </c>
      <c r="H146" s="2" t="s">
        <v>75</v>
      </c>
      <c r="I146" s="5">
        <v>50000.0</v>
      </c>
      <c r="J146" s="6">
        <f t="shared" si="1"/>
        <v>18500000</v>
      </c>
      <c r="K146" s="7" t="str">
        <f t="shared" si="2"/>
        <v>belum</v>
      </c>
      <c r="L146" s="7">
        <f t="shared" si="3"/>
        <v>0</v>
      </c>
      <c r="M146" s="6">
        <f t="shared" si="4"/>
        <v>18500000</v>
      </c>
    </row>
    <row r="147">
      <c r="A147" s="2">
        <v>146.0</v>
      </c>
      <c r="B147" s="2" t="s">
        <v>71</v>
      </c>
      <c r="C147" s="2" t="s">
        <v>72</v>
      </c>
      <c r="D147" s="4">
        <v>37628.0</v>
      </c>
      <c r="E147" s="2" t="s">
        <v>225</v>
      </c>
      <c r="F147" s="2" t="s">
        <v>226</v>
      </c>
      <c r="G147" s="2">
        <v>50.0</v>
      </c>
      <c r="H147" s="2" t="s">
        <v>75</v>
      </c>
      <c r="I147" s="5">
        <v>21000.0</v>
      </c>
      <c r="J147" s="6">
        <f t="shared" si="1"/>
        <v>1050000</v>
      </c>
      <c r="K147" s="7" t="str">
        <f t="shared" si="2"/>
        <v>belum</v>
      </c>
      <c r="L147" s="7">
        <f t="shared" si="3"/>
        <v>0</v>
      </c>
      <c r="M147" s="6">
        <f t="shared" si="4"/>
        <v>1050000</v>
      </c>
    </row>
    <row r="148">
      <c r="A148" s="2">
        <v>147.0</v>
      </c>
      <c r="B148" s="2" t="s">
        <v>71</v>
      </c>
      <c r="C148" s="2" t="s">
        <v>76</v>
      </c>
      <c r="D148" s="4">
        <v>37628.0</v>
      </c>
      <c r="E148" s="2" t="s">
        <v>225</v>
      </c>
      <c r="F148" s="2" t="s">
        <v>226</v>
      </c>
      <c r="G148" s="2">
        <v>50.0</v>
      </c>
      <c r="H148" s="2" t="s">
        <v>75</v>
      </c>
      <c r="I148" s="5">
        <v>50000.0</v>
      </c>
      <c r="J148" s="6">
        <f t="shared" si="1"/>
        <v>2500000</v>
      </c>
      <c r="K148" s="7" t="str">
        <f t="shared" si="2"/>
        <v>belum</v>
      </c>
      <c r="L148" s="7">
        <f t="shared" si="3"/>
        <v>0</v>
      </c>
      <c r="M148" s="6">
        <f t="shared" si="4"/>
        <v>2500000</v>
      </c>
    </row>
    <row r="149">
      <c r="A149" s="2">
        <v>148.0</v>
      </c>
      <c r="B149" s="2" t="s">
        <v>71</v>
      </c>
      <c r="C149" s="2" t="s">
        <v>72</v>
      </c>
      <c r="D149" s="4">
        <v>37628.0</v>
      </c>
      <c r="E149" s="2" t="s">
        <v>225</v>
      </c>
      <c r="F149" s="2" t="s">
        <v>227</v>
      </c>
      <c r="G149" s="2">
        <v>25.0</v>
      </c>
      <c r="H149" s="2" t="s">
        <v>75</v>
      </c>
      <c r="I149" s="5">
        <v>21000.0</v>
      </c>
      <c r="J149" s="6">
        <f t="shared" si="1"/>
        <v>525000</v>
      </c>
      <c r="K149" s="7" t="str">
        <f t="shared" si="2"/>
        <v>belum</v>
      </c>
      <c r="L149" s="7">
        <f t="shared" si="3"/>
        <v>0</v>
      </c>
      <c r="M149" s="6">
        <f t="shared" si="4"/>
        <v>525000</v>
      </c>
    </row>
    <row r="150">
      <c r="A150" s="2">
        <v>149.0</v>
      </c>
      <c r="B150" s="2" t="s">
        <v>71</v>
      </c>
      <c r="C150" s="2" t="s">
        <v>76</v>
      </c>
      <c r="D150" s="4">
        <v>37628.0</v>
      </c>
      <c r="E150" s="2" t="s">
        <v>225</v>
      </c>
      <c r="F150" s="2" t="s">
        <v>227</v>
      </c>
      <c r="G150" s="2">
        <v>25.0</v>
      </c>
      <c r="H150" s="2" t="s">
        <v>75</v>
      </c>
      <c r="I150" s="5">
        <v>50000.0</v>
      </c>
      <c r="J150" s="6">
        <f t="shared" si="1"/>
        <v>1250000</v>
      </c>
      <c r="K150" s="7" t="str">
        <f t="shared" si="2"/>
        <v>belum</v>
      </c>
      <c r="L150" s="7">
        <f t="shared" si="3"/>
        <v>0</v>
      </c>
      <c r="M150" s="6">
        <f t="shared" si="4"/>
        <v>1250000</v>
      </c>
    </row>
    <row r="151">
      <c r="A151" s="2">
        <v>150.0</v>
      </c>
      <c r="B151" s="2" t="s">
        <v>71</v>
      </c>
      <c r="C151" s="2" t="s">
        <v>72</v>
      </c>
      <c r="D151" s="4">
        <v>37628.0</v>
      </c>
      <c r="E151" s="2" t="s">
        <v>225</v>
      </c>
      <c r="F151" s="2" t="s">
        <v>228</v>
      </c>
      <c r="G151" s="2">
        <v>25.0</v>
      </c>
      <c r="H151" s="2" t="s">
        <v>75</v>
      </c>
      <c r="I151" s="5">
        <v>21000.0</v>
      </c>
      <c r="J151" s="6">
        <f t="shared" si="1"/>
        <v>525000</v>
      </c>
      <c r="K151" s="7" t="str">
        <f t="shared" si="2"/>
        <v>belum</v>
      </c>
      <c r="L151" s="7">
        <f t="shared" si="3"/>
        <v>0</v>
      </c>
      <c r="M151" s="6">
        <f t="shared" si="4"/>
        <v>525000</v>
      </c>
    </row>
    <row r="152">
      <c r="A152" s="2">
        <v>151.0</v>
      </c>
      <c r="B152" s="2" t="s">
        <v>71</v>
      </c>
      <c r="C152" s="2" t="s">
        <v>76</v>
      </c>
      <c r="D152" s="4">
        <v>37628.0</v>
      </c>
      <c r="E152" s="2" t="s">
        <v>225</v>
      </c>
      <c r="F152" s="2" t="s">
        <v>228</v>
      </c>
      <c r="G152" s="2">
        <v>25.0</v>
      </c>
      <c r="H152" s="2" t="s">
        <v>75</v>
      </c>
      <c r="I152" s="5">
        <v>50000.0</v>
      </c>
      <c r="J152" s="6">
        <f t="shared" si="1"/>
        <v>1250000</v>
      </c>
      <c r="K152" s="7" t="str">
        <f t="shared" si="2"/>
        <v>belum</v>
      </c>
      <c r="L152" s="7">
        <f t="shared" si="3"/>
        <v>0</v>
      </c>
      <c r="M152" s="6">
        <f t="shared" si="4"/>
        <v>1250000</v>
      </c>
    </row>
    <row r="153">
      <c r="A153" s="2">
        <v>152.0</v>
      </c>
      <c r="B153" s="2" t="s">
        <v>71</v>
      </c>
      <c r="C153" s="2" t="s">
        <v>72</v>
      </c>
      <c r="D153" s="4">
        <v>37628.0</v>
      </c>
      <c r="E153" s="2" t="s">
        <v>229</v>
      </c>
      <c r="F153" s="2" t="s">
        <v>230</v>
      </c>
      <c r="G153" s="2">
        <v>50.0</v>
      </c>
      <c r="H153" s="2" t="s">
        <v>75</v>
      </c>
      <c r="I153" s="5">
        <v>21000.0</v>
      </c>
      <c r="J153" s="6">
        <f t="shared" si="1"/>
        <v>1050000</v>
      </c>
      <c r="K153" s="7" t="str">
        <f t="shared" si="2"/>
        <v>belum</v>
      </c>
      <c r="L153" s="7">
        <f t="shared" si="3"/>
        <v>0</v>
      </c>
      <c r="M153" s="6">
        <f t="shared" si="4"/>
        <v>1050000</v>
      </c>
    </row>
    <row r="154">
      <c r="A154" s="2">
        <v>153.0</v>
      </c>
      <c r="B154" s="2" t="s">
        <v>71</v>
      </c>
      <c r="C154" s="2" t="s">
        <v>76</v>
      </c>
      <c r="D154" s="4">
        <v>37628.0</v>
      </c>
      <c r="E154" s="2" t="s">
        <v>229</v>
      </c>
      <c r="F154" s="2" t="s">
        <v>230</v>
      </c>
      <c r="G154" s="2">
        <v>50.0</v>
      </c>
      <c r="H154" s="2" t="s">
        <v>75</v>
      </c>
      <c r="I154" s="5">
        <v>50000.0</v>
      </c>
      <c r="J154" s="6">
        <f t="shared" si="1"/>
        <v>2500000</v>
      </c>
      <c r="K154" s="7" t="str">
        <f t="shared" si="2"/>
        <v>belum</v>
      </c>
      <c r="L154" s="7">
        <f t="shared" si="3"/>
        <v>0</v>
      </c>
      <c r="M154" s="6">
        <f t="shared" si="4"/>
        <v>2500000</v>
      </c>
    </row>
    <row r="155">
      <c r="A155" s="2">
        <v>154.0</v>
      </c>
      <c r="B155" s="2" t="s">
        <v>71</v>
      </c>
      <c r="C155" s="2" t="s">
        <v>72</v>
      </c>
      <c r="D155" s="4">
        <v>37628.0</v>
      </c>
      <c r="E155" s="2" t="s">
        <v>229</v>
      </c>
      <c r="F155" s="2" t="s">
        <v>231</v>
      </c>
      <c r="G155" s="2">
        <v>50.0</v>
      </c>
      <c r="H155" s="2" t="s">
        <v>75</v>
      </c>
      <c r="I155" s="5">
        <v>21000.0</v>
      </c>
      <c r="J155" s="6">
        <f t="shared" si="1"/>
        <v>1050000</v>
      </c>
      <c r="K155" s="7" t="str">
        <f t="shared" si="2"/>
        <v>belum</v>
      </c>
      <c r="L155" s="7">
        <f t="shared" si="3"/>
        <v>0</v>
      </c>
      <c r="M155" s="6">
        <f t="shared" si="4"/>
        <v>1050000</v>
      </c>
    </row>
    <row r="156">
      <c r="A156" s="2">
        <v>155.0</v>
      </c>
      <c r="B156" s="2" t="s">
        <v>71</v>
      </c>
      <c r="C156" s="2" t="s">
        <v>76</v>
      </c>
      <c r="D156" s="4">
        <v>37628.0</v>
      </c>
      <c r="E156" s="2" t="s">
        <v>229</v>
      </c>
      <c r="F156" s="2" t="s">
        <v>231</v>
      </c>
      <c r="G156" s="2">
        <v>50.0</v>
      </c>
      <c r="H156" s="2" t="s">
        <v>75</v>
      </c>
      <c r="I156" s="5">
        <v>50000.0</v>
      </c>
      <c r="J156" s="6">
        <f t="shared" si="1"/>
        <v>2500000</v>
      </c>
      <c r="K156" s="7" t="str">
        <f t="shared" si="2"/>
        <v>belum</v>
      </c>
      <c r="L156" s="7">
        <f t="shared" si="3"/>
        <v>0</v>
      </c>
      <c r="M156" s="6">
        <f t="shared" si="4"/>
        <v>2500000</v>
      </c>
    </row>
    <row r="157">
      <c r="A157" s="2">
        <v>156.0</v>
      </c>
      <c r="B157" s="2" t="s">
        <v>71</v>
      </c>
      <c r="C157" s="2" t="s">
        <v>72</v>
      </c>
      <c r="D157" s="4">
        <v>37628.0</v>
      </c>
      <c r="E157" s="2" t="s">
        <v>229</v>
      </c>
      <c r="F157" s="2" t="s">
        <v>232</v>
      </c>
      <c r="G157" s="2">
        <v>50.0</v>
      </c>
      <c r="H157" s="2" t="s">
        <v>75</v>
      </c>
      <c r="I157" s="5">
        <v>21000.0</v>
      </c>
      <c r="J157" s="6">
        <f t="shared" si="1"/>
        <v>1050000</v>
      </c>
      <c r="K157" s="7" t="str">
        <f t="shared" si="2"/>
        <v>belum</v>
      </c>
      <c r="L157" s="7">
        <f t="shared" si="3"/>
        <v>0</v>
      </c>
      <c r="M157" s="6">
        <f t="shared" si="4"/>
        <v>1050000</v>
      </c>
    </row>
    <row r="158">
      <c r="A158" s="2">
        <v>157.0</v>
      </c>
      <c r="B158" s="2" t="s">
        <v>71</v>
      </c>
      <c r="C158" s="2" t="s">
        <v>76</v>
      </c>
      <c r="D158" s="4">
        <v>37628.0</v>
      </c>
      <c r="E158" s="2" t="s">
        <v>229</v>
      </c>
      <c r="F158" s="2" t="s">
        <v>232</v>
      </c>
      <c r="G158" s="2">
        <v>50.0</v>
      </c>
      <c r="H158" s="2" t="s">
        <v>75</v>
      </c>
      <c r="I158" s="5">
        <v>50000.0</v>
      </c>
      <c r="J158" s="6">
        <f t="shared" si="1"/>
        <v>2500000</v>
      </c>
      <c r="K158" s="7" t="str">
        <f t="shared" si="2"/>
        <v>belum</v>
      </c>
      <c r="L158" s="7">
        <f t="shared" si="3"/>
        <v>0</v>
      </c>
      <c r="M158" s="6">
        <f t="shared" si="4"/>
        <v>2500000</v>
      </c>
    </row>
    <row r="159">
      <c r="A159" s="2">
        <v>158.0</v>
      </c>
      <c r="B159" s="2" t="s">
        <v>71</v>
      </c>
      <c r="C159" s="2" t="s">
        <v>72</v>
      </c>
      <c r="D159" s="4">
        <v>37628.0</v>
      </c>
      <c r="E159" s="2" t="s">
        <v>229</v>
      </c>
      <c r="F159" s="2" t="s">
        <v>233</v>
      </c>
      <c r="G159" s="2">
        <v>50.0</v>
      </c>
      <c r="H159" s="2" t="s">
        <v>75</v>
      </c>
      <c r="I159" s="5">
        <v>21000.0</v>
      </c>
      <c r="J159" s="6">
        <f t="shared" si="1"/>
        <v>1050000</v>
      </c>
      <c r="K159" s="7" t="str">
        <f t="shared" si="2"/>
        <v>belum</v>
      </c>
      <c r="L159" s="7">
        <f t="shared" si="3"/>
        <v>0</v>
      </c>
      <c r="M159" s="6">
        <f t="shared" si="4"/>
        <v>1050000</v>
      </c>
    </row>
    <row r="160">
      <c r="A160" s="2">
        <v>159.0</v>
      </c>
      <c r="B160" s="2" t="s">
        <v>71</v>
      </c>
      <c r="C160" s="2" t="s">
        <v>76</v>
      </c>
      <c r="D160" s="4">
        <v>37628.0</v>
      </c>
      <c r="E160" s="2" t="s">
        <v>229</v>
      </c>
      <c r="F160" s="2" t="s">
        <v>233</v>
      </c>
      <c r="G160" s="2">
        <v>50.0</v>
      </c>
      <c r="H160" s="2" t="s">
        <v>75</v>
      </c>
      <c r="I160" s="5">
        <v>50000.0</v>
      </c>
      <c r="J160" s="6">
        <f t="shared" si="1"/>
        <v>2500000</v>
      </c>
      <c r="K160" s="7" t="str">
        <f t="shared" si="2"/>
        <v>belum</v>
      </c>
      <c r="L160" s="7">
        <f t="shared" si="3"/>
        <v>0</v>
      </c>
      <c r="M160" s="6">
        <f t="shared" si="4"/>
        <v>2500000</v>
      </c>
    </row>
    <row r="161">
      <c r="A161" s="2">
        <v>160.0</v>
      </c>
      <c r="B161" s="2" t="s">
        <v>71</v>
      </c>
      <c r="C161" s="2" t="s">
        <v>72</v>
      </c>
      <c r="D161" s="4">
        <v>37628.0</v>
      </c>
      <c r="E161" s="2" t="s">
        <v>229</v>
      </c>
      <c r="F161" s="2" t="s">
        <v>234</v>
      </c>
      <c r="G161" s="2">
        <v>200.0</v>
      </c>
      <c r="H161" s="2" t="s">
        <v>75</v>
      </c>
      <c r="I161" s="5">
        <v>21000.0</v>
      </c>
      <c r="J161" s="6">
        <f t="shared" si="1"/>
        <v>4200000</v>
      </c>
      <c r="K161" s="7" t="str">
        <f t="shared" si="2"/>
        <v>belum</v>
      </c>
      <c r="L161" s="7">
        <f t="shared" si="3"/>
        <v>0</v>
      </c>
      <c r="M161" s="6">
        <f t="shared" si="4"/>
        <v>4200000</v>
      </c>
    </row>
    <row r="162">
      <c r="A162" s="2">
        <v>161.0</v>
      </c>
      <c r="B162" s="2" t="s">
        <v>71</v>
      </c>
      <c r="C162" s="2" t="s">
        <v>76</v>
      </c>
      <c r="D162" s="4">
        <v>37628.0</v>
      </c>
      <c r="E162" s="2" t="s">
        <v>229</v>
      </c>
      <c r="F162" s="2" t="s">
        <v>234</v>
      </c>
      <c r="G162" s="2">
        <v>200.0</v>
      </c>
      <c r="H162" s="2" t="s">
        <v>75</v>
      </c>
      <c r="I162" s="5">
        <v>50000.0</v>
      </c>
      <c r="J162" s="6">
        <f t="shared" si="1"/>
        <v>10000000</v>
      </c>
      <c r="K162" s="7" t="str">
        <f t="shared" si="2"/>
        <v>belum</v>
      </c>
      <c r="L162" s="7">
        <f t="shared" si="3"/>
        <v>0</v>
      </c>
      <c r="M162" s="6">
        <f t="shared" si="4"/>
        <v>10000000</v>
      </c>
    </row>
    <row r="163">
      <c r="A163" s="2">
        <v>162.0</v>
      </c>
      <c r="B163" s="2" t="s">
        <v>71</v>
      </c>
      <c r="C163" s="2" t="s">
        <v>72</v>
      </c>
      <c r="D163" s="4">
        <v>37628.0</v>
      </c>
      <c r="E163" s="2" t="s">
        <v>229</v>
      </c>
      <c r="F163" s="2" t="s">
        <v>235</v>
      </c>
      <c r="G163" s="2">
        <v>70.0</v>
      </c>
      <c r="H163" s="2" t="s">
        <v>75</v>
      </c>
      <c r="I163" s="5">
        <v>21000.0</v>
      </c>
      <c r="J163" s="6">
        <f t="shared" si="1"/>
        <v>1470000</v>
      </c>
      <c r="K163" s="7" t="str">
        <f t="shared" si="2"/>
        <v>belum</v>
      </c>
      <c r="L163" s="7">
        <f t="shared" si="3"/>
        <v>0</v>
      </c>
      <c r="M163" s="6">
        <f t="shared" si="4"/>
        <v>1470000</v>
      </c>
    </row>
    <row r="164">
      <c r="A164" s="2">
        <v>163.0</v>
      </c>
      <c r="B164" s="2" t="s">
        <v>71</v>
      </c>
      <c r="C164" s="2" t="s">
        <v>76</v>
      </c>
      <c r="D164" s="4">
        <v>37628.0</v>
      </c>
      <c r="E164" s="2" t="s">
        <v>229</v>
      </c>
      <c r="F164" s="2" t="s">
        <v>235</v>
      </c>
      <c r="G164" s="2">
        <v>70.0</v>
      </c>
      <c r="H164" s="2" t="s">
        <v>75</v>
      </c>
      <c r="I164" s="5">
        <v>50000.0</v>
      </c>
      <c r="J164" s="6">
        <f t="shared" si="1"/>
        <v>3500000</v>
      </c>
      <c r="K164" s="7" t="str">
        <f t="shared" si="2"/>
        <v>belum</v>
      </c>
      <c r="L164" s="7">
        <f t="shared" si="3"/>
        <v>0</v>
      </c>
      <c r="M164" s="6">
        <f t="shared" si="4"/>
        <v>3500000</v>
      </c>
    </row>
    <row r="165">
      <c r="A165" s="2">
        <v>164.0</v>
      </c>
      <c r="B165" s="2" t="s">
        <v>217</v>
      </c>
      <c r="C165" s="2" t="s">
        <v>236</v>
      </c>
      <c r="D165" s="4">
        <v>37628.0</v>
      </c>
      <c r="E165" s="2" t="s">
        <v>229</v>
      </c>
      <c r="F165" s="2" t="s">
        <v>237</v>
      </c>
      <c r="G165" s="2">
        <v>1.0</v>
      </c>
      <c r="H165" s="2" t="s">
        <v>221</v>
      </c>
      <c r="I165" s="5">
        <v>426000.0</v>
      </c>
      <c r="J165" s="6">
        <f t="shared" si="1"/>
        <v>426000</v>
      </c>
      <c r="K165" s="7" t="str">
        <f t="shared" si="2"/>
        <v>belum</v>
      </c>
      <c r="L165" s="7">
        <f t="shared" si="3"/>
        <v>0</v>
      </c>
      <c r="M165" s="6">
        <f t="shared" si="4"/>
        <v>426000</v>
      </c>
    </row>
    <row r="166">
      <c r="A166" s="2">
        <v>165.0</v>
      </c>
      <c r="B166" s="2" t="s">
        <v>217</v>
      </c>
      <c r="C166" s="2" t="s">
        <v>218</v>
      </c>
      <c r="D166" s="4">
        <v>37628.0</v>
      </c>
      <c r="E166" s="2" t="s">
        <v>229</v>
      </c>
      <c r="F166" s="2" t="s">
        <v>237</v>
      </c>
      <c r="G166" s="2">
        <v>25.0</v>
      </c>
      <c r="H166" s="2" t="s">
        <v>17</v>
      </c>
      <c r="I166" s="5">
        <v>71000.0</v>
      </c>
      <c r="J166" s="6">
        <f t="shared" si="1"/>
        <v>1775000</v>
      </c>
      <c r="K166" s="7" t="str">
        <f t="shared" si="2"/>
        <v>belum</v>
      </c>
      <c r="L166" s="7">
        <f t="shared" si="3"/>
        <v>0</v>
      </c>
      <c r="M166" s="6">
        <f t="shared" si="4"/>
        <v>1775000</v>
      </c>
    </row>
    <row r="167">
      <c r="A167" s="2">
        <v>166.0</v>
      </c>
      <c r="B167" s="2" t="s">
        <v>217</v>
      </c>
      <c r="C167" s="2" t="s">
        <v>236</v>
      </c>
      <c r="D167" s="4">
        <v>37628.0</v>
      </c>
      <c r="E167" s="2" t="s">
        <v>229</v>
      </c>
      <c r="F167" s="2" t="s">
        <v>238</v>
      </c>
      <c r="G167" s="2">
        <v>1.0</v>
      </c>
      <c r="H167" s="2" t="s">
        <v>221</v>
      </c>
      <c r="I167" s="5">
        <v>426000.0</v>
      </c>
      <c r="J167" s="6">
        <f t="shared" si="1"/>
        <v>426000</v>
      </c>
      <c r="K167" s="7" t="str">
        <f t="shared" si="2"/>
        <v>belum</v>
      </c>
      <c r="L167" s="7">
        <f t="shared" si="3"/>
        <v>0</v>
      </c>
      <c r="M167" s="6">
        <f t="shared" si="4"/>
        <v>426000</v>
      </c>
    </row>
    <row r="168">
      <c r="A168" s="2">
        <v>167.0</v>
      </c>
      <c r="B168" s="2" t="s">
        <v>217</v>
      </c>
      <c r="C168" s="2" t="s">
        <v>218</v>
      </c>
      <c r="D168" s="4">
        <v>37628.0</v>
      </c>
      <c r="E168" s="2" t="s">
        <v>229</v>
      </c>
      <c r="F168" s="2" t="s">
        <v>238</v>
      </c>
      <c r="G168" s="2">
        <v>25.0</v>
      </c>
      <c r="H168" s="2" t="s">
        <v>17</v>
      </c>
      <c r="I168" s="5">
        <v>71000.0</v>
      </c>
      <c r="J168" s="6">
        <f t="shared" si="1"/>
        <v>1775000</v>
      </c>
      <c r="K168" s="7" t="str">
        <f t="shared" si="2"/>
        <v>belum</v>
      </c>
      <c r="L168" s="7">
        <f t="shared" si="3"/>
        <v>0</v>
      </c>
      <c r="M168" s="6">
        <f t="shared" si="4"/>
        <v>1775000</v>
      </c>
    </row>
    <row r="169">
      <c r="A169" s="2">
        <v>168.0</v>
      </c>
      <c r="B169" s="2" t="s">
        <v>71</v>
      </c>
      <c r="C169" s="2" t="s">
        <v>72</v>
      </c>
      <c r="D169" s="4">
        <v>37628.0</v>
      </c>
      <c r="E169" s="2" t="s">
        <v>229</v>
      </c>
      <c r="F169" s="2" t="s">
        <v>239</v>
      </c>
      <c r="G169" s="2">
        <v>50.0</v>
      </c>
      <c r="H169" s="2" t="s">
        <v>75</v>
      </c>
      <c r="I169" s="5">
        <v>21000.0</v>
      </c>
      <c r="J169" s="6">
        <f t="shared" si="1"/>
        <v>1050000</v>
      </c>
      <c r="K169" s="7" t="str">
        <f t="shared" si="2"/>
        <v>belum</v>
      </c>
      <c r="L169" s="7">
        <f t="shared" si="3"/>
        <v>0</v>
      </c>
      <c r="M169" s="6">
        <f t="shared" si="4"/>
        <v>1050000</v>
      </c>
    </row>
    <row r="170">
      <c r="A170" s="2">
        <v>169.0</v>
      </c>
      <c r="B170" s="2" t="s">
        <v>71</v>
      </c>
      <c r="C170" s="2" t="s">
        <v>76</v>
      </c>
      <c r="D170" s="4">
        <v>37628.0</v>
      </c>
      <c r="E170" s="2" t="s">
        <v>229</v>
      </c>
      <c r="F170" s="2" t="s">
        <v>239</v>
      </c>
      <c r="G170" s="2">
        <v>50.0</v>
      </c>
      <c r="H170" s="2" t="s">
        <v>75</v>
      </c>
      <c r="I170" s="5">
        <v>50000.0</v>
      </c>
      <c r="J170" s="6">
        <f t="shared" si="1"/>
        <v>2500000</v>
      </c>
      <c r="K170" s="7" t="str">
        <f t="shared" si="2"/>
        <v>belum</v>
      </c>
      <c r="L170" s="7">
        <f t="shared" si="3"/>
        <v>0</v>
      </c>
      <c r="M170" s="6">
        <f t="shared" si="4"/>
        <v>2500000</v>
      </c>
    </row>
    <row r="171">
      <c r="A171" s="2">
        <v>170.0</v>
      </c>
      <c r="B171" s="2" t="s">
        <v>71</v>
      </c>
      <c r="C171" s="2" t="s">
        <v>72</v>
      </c>
      <c r="D171" s="4">
        <v>37993.0</v>
      </c>
      <c r="E171" s="2" t="s">
        <v>240</v>
      </c>
      <c r="F171" s="2" t="s">
        <v>241</v>
      </c>
      <c r="G171" s="2">
        <v>70.0</v>
      </c>
      <c r="H171" s="2" t="s">
        <v>75</v>
      </c>
      <c r="I171" s="5">
        <v>21000.0</v>
      </c>
      <c r="J171" s="6">
        <f t="shared" si="1"/>
        <v>1470000</v>
      </c>
      <c r="K171" s="7" t="str">
        <f t="shared" si="2"/>
        <v>belum</v>
      </c>
      <c r="L171" s="7">
        <f t="shared" si="3"/>
        <v>0</v>
      </c>
      <c r="M171" s="6">
        <f t="shared" si="4"/>
        <v>1470000</v>
      </c>
    </row>
    <row r="172">
      <c r="A172" s="2">
        <v>171.0</v>
      </c>
      <c r="B172" s="2" t="s">
        <v>71</v>
      </c>
      <c r="C172" s="2" t="s">
        <v>76</v>
      </c>
      <c r="D172" s="4">
        <v>37993.0</v>
      </c>
      <c r="E172" s="2" t="s">
        <v>240</v>
      </c>
      <c r="F172" s="2" t="s">
        <v>241</v>
      </c>
      <c r="G172" s="2">
        <v>70.0</v>
      </c>
      <c r="H172" s="2" t="s">
        <v>75</v>
      </c>
      <c r="I172" s="5">
        <v>50000.0</v>
      </c>
      <c r="J172" s="6">
        <f t="shared" si="1"/>
        <v>3500000</v>
      </c>
      <c r="K172" s="7" t="str">
        <f t="shared" si="2"/>
        <v>belum</v>
      </c>
      <c r="L172" s="7">
        <f t="shared" si="3"/>
        <v>0</v>
      </c>
      <c r="M172" s="6">
        <f t="shared" si="4"/>
        <v>3500000</v>
      </c>
    </row>
    <row r="173">
      <c r="A173" s="2">
        <v>172.0</v>
      </c>
      <c r="B173" s="2" t="s">
        <v>206</v>
      </c>
      <c r="C173" s="2" t="s">
        <v>209</v>
      </c>
      <c r="D173" s="4">
        <v>37993.0</v>
      </c>
      <c r="E173" s="2" t="s">
        <v>240</v>
      </c>
      <c r="F173" s="2" t="s">
        <v>241</v>
      </c>
      <c r="G173" s="2">
        <v>546.0</v>
      </c>
      <c r="H173" s="2" t="s">
        <v>75</v>
      </c>
      <c r="I173" s="5">
        <v>20000.0</v>
      </c>
      <c r="J173" s="6">
        <f t="shared" si="1"/>
        <v>10920000</v>
      </c>
      <c r="K173" s="7" t="str">
        <f t="shared" si="2"/>
        <v>belum</v>
      </c>
      <c r="L173" s="7">
        <f t="shared" si="3"/>
        <v>0</v>
      </c>
      <c r="M173" s="6">
        <f t="shared" si="4"/>
        <v>10920000</v>
      </c>
    </row>
    <row r="174">
      <c r="A174" s="2">
        <v>173.0</v>
      </c>
      <c r="B174" s="2" t="s">
        <v>206</v>
      </c>
      <c r="C174" s="2" t="s">
        <v>210</v>
      </c>
      <c r="D174" s="4">
        <v>37993.0</v>
      </c>
      <c r="E174" s="2" t="s">
        <v>240</v>
      </c>
      <c r="F174" s="2" t="s">
        <v>241</v>
      </c>
      <c r="G174" s="2">
        <v>546.0</v>
      </c>
      <c r="H174" s="2" t="s">
        <v>75</v>
      </c>
      <c r="I174" s="5">
        <v>34000.0</v>
      </c>
      <c r="J174" s="6">
        <f t="shared" si="1"/>
        <v>18564000</v>
      </c>
      <c r="K174" s="7" t="str">
        <f t="shared" si="2"/>
        <v>belum</v>
      </c>
      <c r="L174" s="7">
        <f t="shared" si="3"/>
        <v>0</v>
      </c>
      <c r="M174" s="6">
        <f t="shared" si="4"/>
        <v>18564000</v>
      </c>
    </row>
    <row r="175">
      <c r="A175" s="2">
        <v>174.0</v>
      </c>
      <c r="B175" s="2" t="s">
        <v>71</v>
      </c>
      <c r="C175" s="2" t="s">
        <v>72</v>
      </c>
      <c r="D175" s="4">
        <v>37993.0</v>
      </c>
      <c r="E175" s="2" t="s">
        <v>240</v>
      </c>
      <c r="F175" s="2" t="s">
        <v>242</v>
      </c>
      <c r="G175" s="2">
        <v>50.0</v>
      </c>
      <c r="H175" s="2" t="s">
        <v>75</v>
      </c>
      <c r="I175" s="5">
        <v>21000.0</v>
      </c>
      <c r="J175" s="6">
        <f t="shared" si="1"/>
        <v>1050000</v>
      </c>
      <c r="K175" s="7" t="str">
        <f t="shared" si="2"/>
        <v>belum</v>
      </c>
      <c r="L175" s="7">
        <f t="shared" si="3"/>
        <v>0</v>
      </c>
      <c r="M175" s="6">
        <f t="shared" si="4"/>
        <v>1050000</v>
      </c>
    </row>
    <row r="176">
      <c r="A176" s="2">
        <v>175.0</v>
      </c>
      <c r="B176" s="2" t="s">
        <v>71</v>
      </c>
      <c r="C176" s="2" t="s">
        <v>76</v>
      </c>
      <c r="D176" s="4">
        <v>37993.0</v>
      </c>
      <c r="E176" s="2" t="s">
        <v>240</v>
      </c>
      <c r="F176" s="2" t="s">
        <v>242</v>
      </c>
      <c r="G176" s="2">
        <v>50.0</v>
      </c>
      <c r="H176" s="2" t="s">
        <v>75</v>
      </c>
      <c r="I176" s="5">
        <v>50000.0</v>
      </c>
      <c r="J176" s="6">
        <f t="shared" si="1"/>
        <v>2500000</v>
      </c>
      <c r="K176" s="7" t="str">
        <f t="shared" si="2"/>
        <v>belum</v>
      </c>
      <c r="L176" s="7">
        <f t="shared" si="3"/>
        <v>0</v>
      </c>
      <c r="M176" s="6">
        <f t="shared" si="4"/>
        <v>2500000</v>
      </c>
    </row>
    <row r="177">
      <c r="A177" s="2">
        <v>176.0</v>
      </c>
      <c r="B177" s="2" t="s">
        <v>71</v>
      </c>
      <c r="C177" s="2" t="s">
        <v>72</v>
      </c>
      <c r="D177" s="4">
        <v>37993.0</v>
      </c>
      <c r="E177" s="2" t="s">
        <v>243</v>
      </c>
      <c r="F177" s="2" t="s">
        <v>244</v>
      </c>
      <c r="G177" s="2">
        <v>50.0</v>
      </c>
      <c r="H177" s="2" t="s">
        <v>75</v>
      </c>
      <c r="I177" s="5">
        <v>21000.0</v>
      </c>
      <c r="J177" s="6">
        <f t="shared" si="1"/>
        <v>1050000</v>
      </c>
      <c r="K177" s="7" t="str">
        <f t="shared" si="2"/>
        <v>belum</v>
      </c>
      <c r="L177" s="7">
        <f t="shared" si="3"/>
        <v>0</v>
      </c>
      <c r="M177" s="6">
        <f t="shared" si="4"/>
        <v>1050000</v>
      </c>
    </row>
    <row r="178">
      <c r="A178" s="2">
        <v>177.0</v>
      </c>
      <c r="B178" s="2" t="s">
        <v>71</v>
      </c>
      <c r="C178" s="2" t="s">
        <v>76</v>
      </c>
      <c r="D178" s="4">
        <v>37993.0</v>
      </c>
      <c r="E178" s="2" t="s">
        <v>243</v>
      </c>
      <c r="F178" s="2" t="s">
        <v>244</v>
      </c>
      <c r="G178" s="2">
        <v>50.0</v>
      </c>
      <c r="H178" s="2" t="s">
        <v>75</v>
      </c>
      <c r="I178" s="5">
        <v>50000.0</v>
      </c>
      <c r="J178" s="6">
        <f t="shared" si="1"/>
        <v>2500000</v>
      </c>
      <c r="K178" s="7" t="str">
        <f t="shared" si="2"/>
        <v>belum</v>
      </c>
      <c r="L178" s="7">
        <f t="shared" si="3"/>
        <v>0</v>
      </c>
      <c r="M178" s="6">
        <f t="shared" si="4"/>
        <v>2500000</v>
      </c>
    </row>
    <row r="179">
      <c r="A179" s="2">
        <v>178.0</v>
      </c>
      <c r="B179" s="2" t="s">
        <v>71</v>
      </c>
      <c r="C179" s="2" t="s">
        <v>72</v>
      </c>
      <c r="D179" s="4">
        <v>38359.0</v>
      </c>
      <c r="E179" s="2" t="s">
        <v>245</v>
      </c>
      <c r="F179" s="2" t="s">
        <v>246</v>
      </c>
      <c r="G179" s="2">
        <v>55.0</v>
      </c>
      <c r="H179" s="2" t="s">
        <v>75</v>
      </c>
      <c r="I179" s="5">
        <v>21000.0</v>
      </c>
      <c r="J179" s="6">
        <f t="shared" si="1"/>
        <v>1155000</v>
      </c>
      <c r="K179" s="7" t="str">
        <f t="shared" si="2"/>
        <v>belum</v>
      </c>
      <c r="L179" s="7">
        <f t="shared" si="3"/>
        <v>0</v>
      </c>
      <c r="M179" s="6">
        <f t="shared" si="4"/>
        <v>1155000</v>
      </c>
    </row>
    <row r="180">
      <c r="A180" s="2">
        <v>179.0</v>
      </c>
      <c r="B180" s="2" t="s">
        <v>71</v>
      </c>
      <c r="C180" s="2" t="s">
        <v>76</v>
      </c>
      <c r="D180" s="4">
        <v>38359.0</v>
      </c>
      <c r="E180" s="2" t="s">
        <v>245</v>
      </c>
      <c r="F180" s="2" t="s">
        <v>246</v>
      </c>
      <c r="G180" s="2">
        <v>55.0</v>
      </c>
      <c r="H180" s="2" t="s">
        <v>75</v>
      </c>
      <c r="I180" s="5">
        <v>50000.0</v>
      </c>
      <c r="J180" s="6">
        <f t="shared" si="1"/>
        <v>2750000</v>
      </c>
      <c r="K180" s="7" t="str">
        <f t="shared" si="2"/>
        <v>belum</v>
      </c>
      <c r="L180" s="7">
        <f t="shared" si="3"/>
        <v>0</v>
      </c>
      <c r="M180" s="6">
        <f t="shared" si="4"/>
        <v>2750000</v>
      </c>
    </row>
    <row r="181">
      <c r="A181" s="2">
        <v>180.0</v>
      </c>
      <c r="B181" s="2" t="s">
        <v>71</v>
      </c>
      <c r="C181" s="2" t="s">
        <v>72</v>
      </c>
      <c r="D181" s="4">
        <v>38359.0</v>
      </c>
      <c r="E181" s="2" t="s">
        <v>245</v>
      </c>
      <c r="F181" s="2" t="s">
        <v>246</v>
      </c>
      <c r="G181" s="2">
        <v>55.0</v>
      </c>
      <c r="H181" s="2" t="s">
        <v>75</v>
      </c>
      <c r="I181" s="5">
        <v>21000.0</v>
      </c>
      <c r="J181" s="6">
        <f t="shared" si="1"/>
        <v>1155000</v>
      </c>
      <c r="K181" s="7" t="str">
        <f t="shared" si="2"/>
        <v>belum</v>
      </c>
      <c r="L181" s="7">
        <f t="shared" si="3"/>
        <v>0</v>
      </c>
      <c r="M181" s="6">
        <f t="shared" si="4"/>
        <v>1155000</v>
      </c>
    </row>
    <row r="182">
      <c r="A182" s="2">
        <v>181.0</v>
      </c>
      <c r="B182" s="2" t="s">
        <v>71</v>
      </c>
      <c r="C182" s="2" t="s">
        <v>76</v>
      </c>
      <c r="D182" s="4">
        <v>38359.0</v>
      </c>
      <c r="E182" s="2" t="s">
        <v>245</v>
      </c>
      <c r="F182" s="2" t="s">
        <v>246</v>
      </c>
      <c r="G182" s="2">
        <v>55.0</v>
      </c>
      <c r="H182" s="2" t="s">
        <v>75</v>
      </c>
      <c r="I182" s="5">
        <v>50000.0</v>
      </c>
      <c r="J182" s="6">
        <f t="shared" si="1"/>
        <v>2750000</v>
      </c>
      <c r="K182" s="7" t="str">
        <f t="shared" si="2"/>
        <v>belum</v>
      </c>
      <c r="L182" s="7">
        <f t="shared" si="3"/>
        <v>0</v>
      </c>
      <c r="M182" s="6">
        <f t="shared" si="4"/>
        <v>2750000</v>
      </c>
    </row>
    <row r="183">
      <c r="A183" s="2">
        <v>182.0</v>
      </c>
      <c r="B183" s="2" t="s">
        <v>142</v>
      </c>
      <c r="C183" s="2" t="s">
        <v>247</v>
      </c>
      <c r="D183" s="4">
        <v>38359.0</v>
      </c>
      <c r="E183" s="2" t="s">
        <v>245</v>
      </c>
      <c r="F183" s="2" t="s">
        <v>246</v>
      </c>
      <c r="G183" s="2">
        <v>2.0</v>
      </c>
      <c r="H183" s="2" t="s">
        <v>75</v>
      </c>
      <c r="I183" s="5">
        <v>750000.0</v>
      </c>
      <c r="J183" s="6">
        <f t="shared" si="1"/>
        <v>1500000</v>
      </c>
      <c r="K183" s="7" t="str">
        <f t="shared" si="2"/>
        <v>belum</v>
      </c>
      <c r="L183" s="7">
        <f t="shared" si="3"/>
        <v>0</v>
      </c>
      <c r="M183" s="6">
        <f t="shared" si="4"/>
        <v>1500000</v>
      </c>
    </row>
    <row r="184">
      <c r="A184" s="2">
        <v>183.0</v>
      </c>
      <c r="B184" s="2" t="s">
        <v>206</v>
      </c>
      <c r="C184" s="2" t="s">
        <v>209</v>
      </c>
      <c r="D184" s="4">
        <v>38359.0</v>
      </c>
      <c r="E184" s="2" t="s">
        <v>245</v>
      </c>
      <c r="F184" s="2" t="s">
        <v>246</v>
      </c>
      <c r="G184" s="2">
        <v>300.0</v>
      </c>
      <c r="H184" s="2" t="s">
        <v>75</v>
      </c>
      <c r="I184" s="5">
        <v>20000.0</v>
      </c>
      <c r="J184" s="6">
        <f t="shared" si="1"/>
        <v>6000000</v>
      </c>
      <c r="K184" s="7" t="str">
        <f t="shared" si="2"/>
        <v>belum</v>
      </c>
      <c r="L184" s="7">
        <f t="shared" si="3"/>
        <v>0</v>
      </c>
      <c r="M184" s="6">
        <f t="shared" si="4"/>
        <v>6000000</v>
      </c>
    </row>
    <row r="185">
      <c r="A185" s="2">
        <v>184.0</v>
      </c>
      <c r="B185" s="2" t="s">
        <v>206</v>
      </c>
      <c r="C185" s="2" t="s">
        <v>210</v>
      </c>
      <c r="D185" s="4">
        <v>38359.0</v>
      </c>
      <c r="E185" s="2" t="s">
        <v>245</v>
      </c>
      <c r="F185" s="2" t="s">
        <v>246</v>
      </c>
      <c r="G185" s="2">
        <v>300.0</v>
      </c>
      <c r="H185" s="2" t="s">
        <v>75</v>
      </c>
      <c r="I185" s="5">
        <v>34000.0</v>
      </c>
      <c r="J185" s="6">
        <f t="shared" si="1"/>
        <v>10200000</v>
      </c>
      <c r="K185" s="7" t="str">
        <f t="shared" si="2"/>
        <v>belum</v>
      </c>
      <c r="L185" s="7">
        <f t="shared" si="3"/>
        <v>0</v>
      </c>
      <c r="M185" s="6">
        <f t="shared" si="4"/>
        <v>10200000</v>
      </c>
    </row>
    <row r="186">
      <c r="A186" s="2">
        <v>185.0</v>
      </c>
      <c r="B186" s="2" t="s">
        <v>211</v>
      </c>
      <c r="C186" s="2" t="s">
        <v>248</v>
      </c>
      <c r="D186" s="4">
        <v>38359.0</v>
      </c>
      <c r="E186" s="2" t="s">
        <v>245</v>
      </c>
      <c r="F186" s="2" t="s">
        <v>246</v>
      </c>
      <c r="G186" s="2">
        <v>2.0</v>
      </c>
      <c r="H186" s="2" t="s">
        <v>75</v>
      </c>
      <c r="I186" s="5">
        <v>650000.0</v>
      </c>
      <c r="J186" s="6">
        <f t="shared" si="1"/>
        <v>1300000</v>
      </c>
      <c r="K186" s="7" t="str">
        <f t="shared" si="2"/>
        <v>belum</v>
      </c>
      <c r="L186" s="7">
        <f t="shared" si="3"/>
        <v>0</v>
      </c>
      <c r="M186" s="6">
        <f t="shared" si="4"/>
        <v>1300000</v>
      </c>
    </row>
    <row r="187">
      <c r="A187" s="2">
        <v>186.0</v>
      </c>
      <c r="B187" s="2" t="s">
        <v>211</v>
      </c>
      <c r="C187" s="2" t="s">
        <v>249</v>
      </c>
      <c r="D187" s="4">
        <v>38359.0</v>
      </c>
      <c r="E187" s="2" t="s">
        <v>245</v>
      </c>
      <c r="F187" s="2" t="s">
        <v>246</v>
      </c>
      <c r="G187" s="2">
        <v>2.0</v>
      </c>
      <c r="H187" s="2" t="s">
        <v>75</v>
      </c>
      <c r="I187" s="5">
        <v>1000000.0</v>
      </c>
      <c r="J187" s="6">
        <f t="shared" si="1"/>
        <v>2000000</v>
      </c>
      <c r="K187" s="7" t="str">
        <f t="shared" si="2"/>
        <v>belum</v>
      </c>
      <c r="L187" s="7">
        <f t="shared" si="3"/>
        <v>0</v>
      </c>
      <c r="M187" s="6">
        <f t="shared" si="4"/>
        <v>2000000</v>
      </c>
    </row>
    <row r="188">
      <c r="A188" s="2">
        <v>187.0</v>
      </c>
      <c r="B188" s="2" t="s">
        <v>250</v>
      </c>
      <c r="C188" s="2" t="s">
        <v>251</v>
      </c>
      <c r="D188" s="4">
        <v>38359.0</v>
      </c>
      <c r="E188" s="2" t="s">
        <v>245</v>
      </c>
      <c r="F188" s="2" t="s">
        <v>246</v>
      </c>
      <c r="G188" s="2">
        <v>100.0</v>
      </c>
      <c r="H188" s="2" t="s">
        <v>252</v>
      </c>
      <c r="I188" s="5">
        <v>60000.0</v>
      </c>
      <c r="J188" s="6">
        <f t="shared" si="1"/>
        <v>6000000</v>
      </c>
      <c r="K188" s="7" t="str">
        <f t="shared" si="2"/>
        <v>belum</v>
      </c>
      <c r="L188" s="7">
        <f t="shared" si="3"/>
        <v>0</v>
      </c>
      <c r="M188" s="6">
        <f t="shared" si="4"/>
        <v>6000000</v>
      </c>
    </row>
    <row r="189">
      <c r="A189" s="2">
        <v>188.0</v>
      </c>
      <c r="B189" s="2" t="s">
        <v>253</v>
      </c>
      <c r="C189" s="2" t="s">
        <v>254</v>
      </c>
      <c r="D189" s="4">
        <v>38359.0</v>
      </c>
      <c r="E189" s="2" t="s">
        <v>245</v>
      </c>
      <c r="F189" s="2" t="s">
        <v>246</v>
      </c>
      <c r="G189" s="2">
        <v>1.0</v>
      </c>
      <c r="H189" s="2" t="s">
        <v>255</v>
      </c>
      <c r="I189" s="5">
        <v>5000000.0</v>
      </c>
      <c r="J189" s="6">
        <f t="shared" si="1"/>
        <v>5000000</v>
      </c>
      <c r="K189" s="7" t="str">
        <f t="shared" si="2"/>
        <v>belum</v>
      </c>
      <c r="L189" s="7">
        <f t="shared" si="3"/>
        <v>0</v>
      </c>
      <c r="M189" s="6">
        <f t="shared" si="4"/>
        <v>5000000</v>
      </c>
    </row>
    <row r="190">
      <c r="A190" s="2">
        <v>189.0</v>
      </c>
      <c r="B190" s="2" t="s">
        <v>256</v>
      </c>
      <c r="C190" s="2" t="s">
        <v>257</v>
      </c>
      <c r="D190" s="4">
        <v>38359.0</v>
      </c>
      <c r="E190" s="2" t="s">
        <v>245</v>
      </c>
      <c r="F190" s="2" t="s">
        <v>246</v>
      </c>
      <c r="G190" s="2">
        <v>100.0</v>
      </c>
      <c r="H190" s="2" t="s">
        <v>258</v>
      </c>
      <c r="I190" s="5">
        <v>7500.0</v>
      </c>
      <c r="J190" s="6">
        <f t="shared" si="1"/>
        <v>750000</v>
      </c>
      <c r="K190" s="7" t="str">
        <f t="shared" si="2"/>
        <v>belum</v>
      </c>
      <c r="L190" s="7">
        <f t="shared" si="3"/>
        <v>0</v>
      </c>
      <c r="M190" s="6">
        <f t="shared" si="4"/>
        <v>750000</v>
      </c>
    </row>
    <row r="191">
      <c r="A191" s="2">
        <v>190.0</v>
      </c>
      <c r="B191" s="2" t="s">
        <v>71</v>
      </c>
      <c r="C191" s="2" t="s">
        <v>72</v>
      </c>
      <c r="D191" s="4">
        <v>38359.0</v>
      </c>
      <c r="E191" s="2" t="s">
        <v>245</v>
      </c>
      <c r="F191" s="2" t="s">
        <v>259</v>
      </c>
      <c r="G191" s="2">
        <v>100.0</v>
      </c>
      <c r="H191" s="2" t="s">
        <v>75</v>
      </c>
      <c r="I191" s="5">
        <v>21000.0</v>
      </c>
      <c r="J191" s="6">
        <f t="shared" si="1"/>
        <v>2100000</v>
      </c>
      <c r="K191" s="7" t="str">
        <f t="shared" si="2"/>
        <v>belum</v>
      </c>
      <c r="L191" s="7">
        <f t="shared" si="3"/>
        <v>0</v>
      </c>
      <c r="M191" s="6">
        <f t="shared" si="4"/>
        <v>2100000</v>
      </c>
    </row>
    <row r="192">
      <c r="A192" s="2">
        <v>191.0</v>
      </c>
      <c r="B192" s="2" t="s">
        <v>71</v>
      </c>
      <c r="C192" s="2" t="s">
        <v>76</v>
      </c>
      <c r="D192" s="4">
        <v>38359.0</v>
      </c>
      <c r="E192" s="2" t="s">
        <v>245</v>
      </c>
      <c r="F192" s="2" t="s">
        <v>259</v>
      </c>
      <c r="G192" s="2">
        <v>100.0</v>
      </c>
      <c r="H192" s="2" t="s">
        <v>75</v>
      </c>
      <c r="I192" s="5">
        <v>50000.0</v>
      </c>
      <c r="J192" s="6">
        <f t="shared" si="1"/>
        <v>5000000</v>
      </c>
      <c r="K192" s="7" t="str">
        <f t="shared" si="2"/>
        <v>belum</v>
      </c>
      <c r="L192" s="7">
        <f t="shared" si="3"/>
        <v>0</v>
      </c>
      <c r="M192" s="6">
        <f t="shared" si="4"/>
        <v>5000000</v>
      </c>
    </row>
    <row r="193">
      <c r="A193" s="2">
        <v>192.0</v>
      </c>
      <c r="B193" s="2" t="s">
        <v>260</v>
      </c>
      <c r="C193" s="2" t="s">
        <v>261</v>
      </c>
      <c r="D193" s="4">
        <v>38359.0</v>
      </c>
      <c r="E193" s="2" t="s">
        <v>245</v>
      </c>
      <c r="F193" s="2" t="s">
        <v>262</v>
      </c>
      <c r="G193" s="2">
        <v>24.0</v>
      </c>
      <c r="H193" s="2" t="s">
        <v>163</v>
      </c>
      <c r="I193" s="5">
        <v>750000.0</v>
      </c>
      <c r="J193" s="6">
        <f t="shared" si="1"/>
        <v>18000000</v>
      </c>
      <c r="K193" s="7" t="str">
        <f t="shared" si="2"/>
        <v>belum</v>
      </c>
      <c r="L193" s="7">
        <f t="shared" si="3"/>
        <v>0</v>
      </c>
      <c r="M193" s="6">
        <f t="shared" si="4"/>
        <v>18000000</v>
      </c>
    </row>
    <row r="194">
      <c r="A194" s="2">
        <v>193.0</v>
      </c>
      <c r="B194" s="2" t="s">
        <v>71</v>
      </c>
      <c r="C194" s="2" t="s">
        <v>72</v>
      </c>
      <c r="D194" s="4">
        <v>38724.0</v>
      </c>
      <c r="E194" s="2" t="s">
        <v>263</v>
      </c>
      <c r="F194" s="2" t="s">
        <v>264</v>
      </c>
      <c r="G194" s="2">
        <v>50.0</v>
      </c>
      <c r="H194" s="2" t="s">
        <v>75</v>
      </c>
      <c r="I194" s="5">
        <v>21000.0</v>
      </c>
      <c r="J194" s="6">
        <f t="shared" si="1"/>
        <v>1050000</v>
      </c>
      <c r="K194" s="7" t="str">
        <f t="shared" si="2"/>
        <v>belum</v>
      </c>
      <c r="L194" s="7">
        <f t="shared" si="3"/>
        <v>0</v>
      </c>
      <c r="M194" s="6">
        <f t="shared" si="4"/>
        <v>1050000</v>
      </c>
    </row>
    <row r="195">
      <c r="A195" s="2">
        <v>194.0</v>
      </c>
      <c r="B195" s="2" t="s">
        <v>71</v>
      </c>
      <c r="C195" s="2" t="s">
        <v>76</v>
      </c>
      <c r="D195" s="4">
        <v>38724.0</v>
      </c>
      <c r="E195" s="2" t="s">
        <v>263</v>
      </c>
      <c r="F195" s="2" t="s">
        <v>264</v>
      </c>
      <c r="G195" s="2">
        <v>50.0</v>
      </c>
      <c r="H195" s="2" t="s">
        <v>75</v>
      </c>
      <c r="I195" s="5">
        <v>50000.0</v>
      </c>
      <c r="J195" s="6">
        <f t="shared" si="1"/>
        <v>2500000</v>
      </c>
      <c r="K195" s="7" t="str">
        <f t="shared" si="2"/>
        <v>belum</v>
      </c>
      <c r="L195" s="7">
        <f t="shared" si="3"/>
        <v>0</v>
      </c>
      <c r="M195" s="6">
        <f t="shared" si="4"/>
        <v>2500000</v>
      </c>
    </row>
    <row r="196">
      <c r="A196" s="2">
        <v>195.0</v>
      </c>
      <c r="B196" s="2" t="s">
        <v>71</v>
      </c>
      <c r="C196" s="2" t="s">
        <v>72</v>
      </c>
      <c r="D196" s="4">
        <v>38724.0</v>
      </c>
      <c r="E196" s="2" t="s">
        <v>263</v>
      </c>
      <c r="F196" s="2" t="s">
        <v>265</v>
      </c>
      <c r="G196" s="2">
        <v>50.0</v>
      </c>
      <c r="H196" s="2" t="s">
        <v>75</v>
      </c>
      <c r="I196" s="5">
        <v>21000.0</v>
      </c>
      <c r="J196" s="6">
        <f t="shared" si="1"/>
        <v>1050000</v>
      </c>
      <c r="K196" s="7" t="str">
        <f t="shared" si="2"/>
        <v>belum</v>
      </c>
      <c r="L196" s="7">
        <f t="shared" si="3"/>
        <v>0</v>
      </c>
      <c r="M196" s="6">
        <f t="shared" si="4"/>
        <v>1050000</v>
      </c>
    </row>
    <row r="197">
      <c r="A197" s="2">
        <v>196.0</v>
      </c>
      <c r="B197" s="2" t="s">
        <v>71</v>
      </c>
      <c r="C197" s="2" t="s">
        <v>76</v>
      </c>
      <c r="D197" s="4">
        <v>38724.0</v>
      </c>
      <c r="E197" s="2" t="s">
        <v>263</v>
      </c>
      <c r="F197" s="2" t="s">
        <v>265</v>
      </c>
      <c r="G197" s="2">
        <v>50.0</v>
      </c>
      <c r="H197" s="2" t="s">
        <v>75</v>
      </c>
      <c r="I197" s="5">
        <v>50000.0</v>
      </c>
      <c r="J197" s="6">
        <f t="shared" si="1"/>
        <v>2500000</v>
      </c>
      <c r="K197" s="7" t="str">
        <f t="shared" si="2"/>
        <v>belum</v>
      </c>
      <c r="L197" s="7">
        <f t="shared" si="3"/>
        <v>0</v>
      </c>
      <c r="M197" s="6">
        <f t="shared" si="4"/>
        <v>2500000</v>
      </c>
    </row>
    <row r="198">
      <c r="A198" s="2">
        <v>197.0</v>
      </c>
      <c r="B198" s="2" t="s">
        <v>71</v>
      </c>
      <c r="C198" s="2" t="s">
        <v>72</v>
      </c>
      <c r="D198" s="4">
        <v>38724.0</v>
      </c>
      <c r="E198" s="2" t="s">
        <v>263</v>
      </c>
      <c r="F198" s="2" t="s">
        <v>266</v>
      </c>
      <c r="G198" s="2">
        <v>200.0</v>
      </c>
      <c r="H198" s="2" t="s">
        <v>75</v>
      </c>
      <c r="I198" s="5">
        <v>21000.0</v>
      </c>
      <c r="J198" s="6">
        <f t="shared" si="1"/>
        <v>4200000</v>
      </c>
      <c r="K198" s="7" t="str">
        <f t="shared" si="2"/>
        <v>belum</v>
      </c>
      <c r="L198" s="7">
        <f t="shared" si="3"/>
        <v>0</v>
      </c>
      <c r="M198" s="6">
        <f t="shared" si="4"/>
        <v>4200000</v>
      </c>
    </row>
    <row r="199">
      <c r="A199" s="2">
        <v>198.0</v>
      </c>
      <c r="B199" s="2" t="s">
        <v>71</v>
      </c>
      <c r="C199" s="2" t="s">
        <v>76</v>
      </c>
      <c r="D199" s="4">
        <v>38724.0</v>
      </c>
      <c r="E199" s="2" t="s">
        <v>263</v>
      </c>
      <c r="F199" s="2" t="s">
        <v>266</v>
      </c>
      <c r="G199" s="2">
        <v>200.0</v>
      </c>
      <c r="H199" s="2" t="s">
        <v>75</v>
      </c>
      <c r="I199" s="5">
        <v>50000.0</v>
      </c>
      <c r="J199" s="6">
        <f t="shared" si="1"/>
        <v>10000000</v>
      </c>
      <c r="K199" s="7" t="str">
        <f t="shared" si="2"/>
        <v>belum</v>
      </c>
      <c r="L199" s="7">
        <f t="shared" si="3"/>
        <v>0</v>
      </c>
      <c r="M199" s="6">
        <f t="shared" si="4"/>
        <v>10000000</v>
      </c>
    </row>
    <row r="200">
      <c r="A200" s="2">
        <v>199.0</v>
      </c>
      <c r="B200" s="2" t="s">
        <v>267</v>
      </c>
      <c r="C200" s="2" t="s">
        <v>268</v>
      </c>
      <c r="D200" s="4">
        <v>38724.0</v>
      </c>
      <c r="E200" s="2" t="s">
        <v>263</v>
      </c>
      <c r="F200" s="2" t="s">
        <v>266</v>
      </c>
      <c r="G200" s="2">
        <v>6.0</v>
      </c>
      <c r="H200" s="2" t="s">
        <v>213</v>
      </c>
      <c r="I200" s="5">
        <v>1000000.0</v>
      </c>
      <c r="J200" s="6">
        <f t="shared" si="1"/>
        <v>6000000</v>
      </c>
      <c r="K200" s="7" t="str">
        <f t="shared" si="2"/>
        <v>belum</v>
      </c>
      <c r="L200" s="7">
        <f t="shared" si="3"/>
        <v>0</v>
      </c>
      <c r="M200" s="6">
        <f t="shared" si="4"/>
        <v>6000000</v>
      </c>
    </row>
    <row r="201">
      <c r="J201" s="6">
        <f>SUM(J2:J200)</f>
        <v>4521281726</v>
      </c>
    </row>
    <row r="202">
      <c r="J202" s="6"/>
    </row>
    <row r="203">
      <c r="J203" s="6"/>
    </row>
    <row r="204">
      <c r="J204" s="6"/>
    </row>
    <row r="205">
      <c r="J205" s="6"/>
    </row>
    <row r="206">
      <c r="J206" s="6"/>
    </row>
    <row r="207">
      <c r="J207" s="6"/>
    </row>
    <row r="208">
      <c r="J208" s="6"/>
    </row>
    <row r="209">
      <c r="J209" s="6"/>
    </row>
    <row r="210">
      <c r="J210" s="6"/>
    </row>
    <row r="211">
      <c r="J211" s="6"/>
    </row>
    <row r="212">
      <c r="J212" s="6"/>
    </row>
    <row r="213">
      <c r="J213" s="6"/>
    </row>
    <row r="214">
      <c r="J214" s="6"/>
    </row>
    <row r="215">
      <c r="J215" s="6"/>
    </row>
    <row r="216">
      <c r="J216" s="6"/>
    </row>
    <row r="217">
      <c r="J217" s="6"/>
    </row>
    <row r="218">
      <c r="J218" s="6"/>
    </row>
    <row r="219">
      <c r="J219" s="6"/>
    </row>
    <row r="220">
      <c r="J220" s="6"/>
    </row>
    <row r="221">
      <c r="J221" s="6"/>
    </row>
    <row r="222">
      <c r="J222" s="6"/>
    </row>
    <row r="223">
      <c r="J223" s="6"/>
    </row>
    <row r="224">
      <c r="J224" s="6"/>
    </row>
    <row r="225">
      <c r="J225" s="6"/>
    </row>
    <row r="226">
      <c r="J226" s="6"/>
    </row>
    <row r="227">
      <c r="J227" s="6"/>
    </row>
    <row r="228">
      <c r="J228" s="6"/>
    </row>
    <row r="229">
      <c r="J229" s="6"/>
    </row>
    <row r="230">
      <c r="J230" s="6"/>
    </row>
    <row r="231">
      <c r="J231" s="6"/>
    </row>
    <row r="232">
      <c r="J232" s="6"/>
    </row>
    <row r="233">
      <c r="J233" s="6"/>
    </row>
    <row r="234">
      <c r="J234" s="6"/>
    </row>
    <row r="235">
      <c r="J235" s="6"/>
    </row>
    <row r="236">
      <c r="J236" s="6"/>
    </row>
    <row r="237">
      <c r="J237" s="6"/>
    </row>
    <row r="238">
      <c r="J238" s="6"/>
    </row>
    <row r="239">
      <c r="J239" s="6"/>
    </row>
    <row r="240">
      <c r="J240" s="6"/>
    </row>
    <row r="241">
      <c r="J241" s="6"/>
    </row>
    <row r="242">
      <c r="J242" s="6"/>
    </row>
    <row r="243">
      <c r="J243" s="6"/>
    </row>
    <row r="244">
      <c r="J244" s="6"/>
    </row>
    <row r="245">
      <c r="J245" s="6"/>
    </row>
    <row r="246">
      <c r="J246" s="6"/>
    </row>
    <row r="247">
      <c r="J247" s="6"/>
    </row>
    <row r="248">
      <c r="J248" s="6"/>
    </row>
    <row r="249">
      <c r="J249" s="6"/>
    </row>
    <row r="250">
      <c r="J250" s="6"/>
    </row>
    <row r="251">
      <c r="J251" s="6"/>
    </row>
    <row r="252">
      <c r="J252" s="6"/>
    </row>
    <row r="253">
      <c r="J253" s="6"/>
    </row>
    <row r="254">
      <c r="J254" s="6"/>
    </row>
    <row r="255">
      <c r="J255" s="6"/>
    </row>
    <row r="256">
      <c r="J256" s="6"/>
    </row>
    <row r="257">
      <c r="J257" s="6"/>
    </row>
    <row r="258">
      <c r="J258" s="6"/>
    </row>
    <row r="259">
      <c r="J259" s="6"/>
    </row>
    <row r="260">
      <c r="J260" s="6"/>
    </row>
    <row r="261">
      <c r="J261" s="6"/>
    </row>
    <row r="262">
      <c r="J262" s="6"/>
    </row>
    <row r="263">
      <c r="J263" s="6"/>
    </row>
    <row r="264">
      <c r="J264" s="6"/>
    </row>
    <row r="265">
      <c r="J265" s="6"/>
    </row>
    <row r="266">
      <c r="J266" s="6"/>
    </row>
    <row r="267">
      <c r="J267" s="6"/>
    </row>
    <row r="268">
      <c r="J268" s="6"/>
    </row>
    <row r="269">
      <c r="J269" s="6"/>
    </row>
    <row r="270">
      <c r="J270" s="6"/>
    </row>
    <row r="271">
      <c r="J271" s="6"/>
    </row>
    <row r="272">
      <c r="J272" s="6"/>
    </row>
    <row r="273">
      <c r="J273" s="6"/>
    </row>
    <row r="274">
      <c r="J274" s="6"/>
    </row>
    <row r="275">
      <c r="J275" s="6"/>
    </row>
    <row r="276">
      <c r="J276" s="6"/>
    </row>
    <row r="277">
      <c r="J277" s="6"/>
    </row>
    <row r="278">
      <c r="J278" s="6"/>
    </row>
    <row r="279">
      <c r="J279" s="6"/>
    </row>
    <row r="280">
      <c r="J280" s="6"/>
    </row>
    <row r="281">
      <c r="J281" s="6"/>
    </row>
    <row r="282">
      <c r="J282" s="6"/>
    </row>
    <row r="283">
      <c r="J283" s="6"/>
    </row>
    <row r="284">
      <c r="J284" s="6"/>
    </row>
    <row r="285">
      <c r="J285" s="6"/>
    </row>
    <row r="286">
      <c r="J286" s="6"/>
    </row>
    <row r="287">
      <c r="J287" s="6"/>
    </row>
    <row r="288">
      <c r="J288" s="6"/>
    </row>
    <row r="289">
      <c r="J289" s="6"/>
    </row>
    <row r="290">
      <c r="J290" s="6"/>
    </row>
    <row r="291">
      <c r="J291" s="6"/>
    </row>
    <row r="292">
      <c r="J292" s="6"/>
    </row>
    <row r="293">
      <c r="J293" s="6"/>
    </row>
    <row r="294">
      <c r="J294" s="6"/>
    </row>
    <row r="295">
      <c r="J295" s="6"/>
    </row>
    <row r="296">
      <c r="J296" s="6"/>
    </row>
    <row r="297">
      <c r="J297" s="6"/>
    </row>
    <row r="298">
      <c r="J298" s="6"/>
    </row>
    <row r="299">
      <c r="J299" s="6"/>
    </row>
    <row r="300">
      <c r="J300" s="6"/>
    </row>
    <row r="301">
      <c r="J301" s="6"/>
    </row>
    <row r="302">
      <c r="J302" s="6"/>
    </row>
    <row r="303">
      <c r="J303" s="6"/>
    </row>
    <row r="304">
      <c r="J304" s="6"/>
    </row>
    <row r="305">
      <c r="J305" s="6"/>
    </row>
    <row r="306">
      <c r="J306" s="6"/>
    </row>
    <row r="307">
      <c r="J307" s="6"/>
    </row>
    <row r="308">
      <c r="J308" s="6"/>
    </row>
    <row r="309">
      <c r="J309" s="6"/>
    </row>
    <row r="310">
      <c r="J310" s="6"/>
    </row>
    <row r="311">
      <c r="J311" s="6"/>
    </row>
    <row r="312">
      <c r="J312" s="6"/>
    </row>
    <row r="313">
      <c r="J313" s="6"/>
    </row>
    <row r="314">
      <c r="J314" s="6"/>
    </row>
    <row r="315">
      <c r="J315" s="6"/>
    </row>
    <row r="316">
      <c r="J316" s="6"/>
    </row>
    <row r="317">
      <c r="J317" s="6"/>
    </row>
    <row r="318">
      <c r="J318" s="6"/>
    </row>
    <row r="319">
      <c r="J319" s="6"/>
    </row>
    <row r="320">
      <c r="J320" s="6"/>
    </row>
    <row r="321">
      <c r="J321" s="6"/>
    </row>
    <row r="322">
      <c r="J322" s="6"/>
    </row>
    <row r="323">
      <c r="J323" s="6"/>
    </row>
    <row r="324">
      <c r="J324" s="6"/>
    </row>
    <row r="325">
      <c r="J325" s="6"/>
    </row>
    <row r="326">
      <c r="J326" s="6"/>
    </row>
    <row r="327">
      <c r="J327" s="6"/>
    </row>
    <row r="328">
      <c r="J328" s="6"/>
    </row>
    <row r="329">
      <c r="J329" s="6"/>
    </row>
    <row r="330">
      <c r="J330" s="6"/>
    </row>
    <row r="331">
      <c r="J331" s="6"/>
    </row>
    <row r="332">
      <c r="J332" s="6"/>
    </row>
    <row r="333">
      <c r="J333" s="6"/>
    </row>
    <row r="334">
      <c r="J334" s="6"/>
    </row>
    <row r="335">
      <c r="J335" s="6"/>
    </row>
    <row r="336">
      <c r="J336" s="6"/>
    </row>
    <row r="337">
      <c r="J337" s="6"/>
    </row>
    <row r="338">
      <c r="J338" s="6"/>
    </row>
    <row r="339">
      <c r="J339" s="6"/>
    </row>
    <row r="340">
      <c r="J340" s="6"/>
    </row>
    <row r="341">
      <c r="J341" s="6"/>
    </row>
    <row r="342">
      <c r="J342" s="6"/>
    </row>
    <row r="343">
      <c r="J343" s="6"/>
    </row>
    <row r="344">
      <c r="J344" s="6"/>
    </row>
    <row r="345">
      <c r="J345" s="6"/>
    </row>
    <row r="346">
      <c r="J346" s="6"/>
    </row>
    <row r="347">
      <c r="J347" s="6"/>
    </row>
    <row r="348">
      <c r="J348" s="6"/>
    </row>
    <row r="349">
      <c r="J349" s="6"/>
    </row>
    <row r="350">
      <c r="J350" s="6"/>
    </row>
    <row r="351">
      <c r="J351" s="6"/>
    </row>
    <row r="352">
      <c r="J352" s="6"/>
    </row>
    <row r="353">
      <c r="J353" s="6"/>
    </row>
    <row r="354">
      <c r="J354" s="6"/>
    </row>
    <row r="355">
      <c r="J355" s="6"/>
    </row>
    <row r="356">
      <c r="J356" s="6"/>
    </row>
    <row r="357">
      <c r="J357" s="6"/>
    </row>
    <row r="358">
      <c r="J358" s="6"/>
    </row>
    <row r="359">
      <c r="J359" s="6"/>
    </row>
    <row r="360">
      <c r="J360" s="6"/>
    </row>
    <row r="361">
      <c r="J361" s="6"/>
    </row>
    <row r="362">
      <c r="J362" s="6"/>
    </row>
    <row r="363">
      <c r="J363" s="6"/>
    </row>
    <row r="364">
      <c r="J364" s="6"/>
    </row>
    <row r="365">
      <c r="J365" s="6"/>
    </row>
    <row r="366">
      <c r="J366" s="6"/>
    </row>
    <row r="367">
      <c r="J367" s="6"/>
    </row>
    <row r="368">
      <c r="J368" s="6"/>
    </row>
    <row r="369">
      <c r="J369" s="6"/>
    </row>
    <row r="370">
      <c r="J370" s="6"/>
    </row>
    <row r="371">
      <c r="J371" s="6"/>
    </row>
    <row r="372">
      <c r="J372" s="6"/>
    </row>
    <row r="373">
      <c r="J373" s="6"/>
    </row>
    <row r="374">
      <c r="J374" s="6"/>
    </row>
    <row r="375">
      <c r="J375" s="6"/>
    </row>
    <row r="376">
      <c r="J376" s="6"/>
    </row>
    <row r="377">
      <c r="J377" s="6"/>
    </row>
    <row r="378">
      <c r="J378" s="6"/>
    </row>
    <row r="379">
      <c r="J379" s="6"/>
    </row>
    <row r="380">
      <c r="J380" s="6"/>
    </row>
    <row r="381">
      <c r="J381" s="6"/>
    </row>
    <row r="382">
      <c r="J382" s="6"/>
    </row>
    <row r="383">
      <c r="J383" s="6"/>
    </row>
    <row r="384">
      <c r="J384" s="6"/>
    </row>
    <row r="385">
      <c r="J385" s="6"/>
    </row>
    <row r="386">
      <c r="J386" s="6"/>
    </row>
    <row r="387">
      <c r="J387" s="6"/>
    </row>
    <row r="388">
      <c r="J388" s="6"/>
    </row>
    <row r="389">
      <c r="J389" s="6"/>
    </row>
    <row r="390">
      <c r="J390" s="6"/>
    </row>
    <row r="391">
      <c r="J391" s="6"/>
    </row>
    <row r="392">
      <c r="J392" s="6"/>
    </row>
    <row r="393">
      <c r="J393" s="6"/>
    </row>
    <row r="394">
      <c r="J394" s="6"/>
    </row>
    <row r="395">
      <c r="J395" s="6"/>
    </row>
    <row r="396">
      <c r="J396" s="6"/>
    </row>
    <row r="397">
      <c r="J397" s="6"/>
    </row>
    <row r="398">
      <c r="J398" s="6"/>
    </row>
    <row r="399">
      <c r="J399" s="6"/>
    </row>
    <row r="400">
      <c r="J400" s="6"/>
    </row>
    <row r="401">
      <c r="J401" s="6"/>
    </row>
    <row r="402">
      <c r="J402" s="6"/>
    </row>
    <row r="403">
      <c r="J403" s="6"/>
    </row>
    <row r="404">
      <c r="J404" s="6"/>
    </row>
    <row r="405">
      <c r="J405" s="6"/>
    </row>
    <row r="406">
      <c r="J406" s="6"/>
    </row>
    <row r="407">
      <c r="J407" s="6"/>
    </row>
    <row r="408">
      <c r="J408" s="6"/>
    </row>
    <row r="409">
      <c r="J409" s="6"/>
    </row>
    <row r="410">
      <c r="J410" s="6"/>
    </row>
    <row r="411">
      <c r="J411" s="6"/>
    </row>
    <row r="412">
      <c r="J412" s="6"/>
    </row>
    <row r="413">
      <c r="J413" s="6"/>
    </row>
    <row r="414">
      <c r="J414" s="6"/>
    </row>
    <row r="415">
      <c r="J415" s="6"/>
    </row>
    <row r="416">
      <c r="J416" s="6"/>
    </row>
    <row r="417">
      <c r="J417" s="6"/>
    </row>
    <row r="418">
      <c r="J418" s="6"/>
    </row>
    <row r="419">
      <c r="J419" s="6"/>
    </row>
    <row r="420">
      <c r="J420" s="6"/>
    </row>
    <row r="421">
      <c r="J421" s="6"/>
    </row>
    <row r="422">
      <c r="J422" s="6"/>
    </row>
    <row r="423">
      <c r="J423" s="6"/>
    </row>
    <row r="424">
      <c r="J424" s="6"/>
    </row>
    <row r="425">
      <c r="J425" s="6"/>
    </row>
    <row r="426">
      <c r="J426" s="6"/>
    </row>
    <row r="427">
      <c r="J427" s="6"/>
    </row>
    <row r="428">
      <c r="J428" s="6"/>
    </row>
    <row r="429">
      <c r="J429" s="6"/>
    </row>
    <row r="430">
      <c r="J430" s="6"/>
    </row>
    <row r="431">
      <c r="J431" s="6"/>
    </row>
    <row r="432">
      <c r="J432" s="6"/>
    </row>
    <row r="433">
      <c r="J433" s="6"/>
    </row>
    <row r="434">
      <c r="J434" s="6"/>
    </row>
    <row r="435">
      <c r="J435" s="6"/>
    </row>
    <row r="436">
      <c r="J436" s="6"/>
    </row>
    <row r="437">
      <c r="J437" s="6"/>
    </row>
    <row r="438">
      <c r="J438" s="6"/>
    </row>
    <row r="439">
      <c r="J439" s="6"/>
    </row>
    <row r="440">
      <c r="J440" s="6"/>
    </row>
    <row r="441">
      <c r="J441" s="6"/>
    </row>
    <row r="442">
      <c r="J442" s="6"/>
    </row>
    <row r="443">
      <c r="J443" s="6"/>
    </row>
    <row r="444">
      <c r="J444" s="6"/>
    </row>
    <row r="445">
      <c r="J445" s="6"/>
    </row>
    <row r="446">
      <c r="J446" s="6"/>
    </row>
    <row r="447">
      <c r="J447" s="6"/>
    </row>
    <row r="448">
      <c r="J448" s="6"/>
    </row>
    <row r="449">
      <c r="J449" s="6"/>
    </row>
    <row r="450">
      <c r="J450" s="6"/>
    </row>
    <row r="451">
      <c r="J451" s="6"/>
    </row>
    <row r="452">
      <c r="J452" s="6"/>
    </row>
    <row r="453">
      <c r="J453" s="6"/>
    </row>
    <row r="454">
      <c r="J454" s="6"/>
    </row>
    <row r="455">
      <c r="J455" s="6"/>
    </row>
    <row r="456">
      <c r="J456" s="6"/>
    </row>
    <row r="457">
      <c r="J457" s="6"/>
    </row>
    <row r="458">
      <c r="J458" s="6"/>
    </row>
    <row r="459">
      <c r="J459" s="6"/>
    </row>
    <row r="460">
      <c r="J460" s="6"/>
    </row>
    <row r="461">
      <c r="J461" s="6"/>
    </row>
    <row r="462">
      <c r="J462" s="6"/>
    </row>
    <row r="463">
      <c r="J463" s="6"/>
    </row>
    <row r="464">
      <c r="J464" s="6"/>
    </row>
    <row r="465">
      <c r="J465" s="6"/>
    </row>
    <row r="466">
      <c r="J466" s="6"/>
    </row>
    <row r="467">
      <c r="J467" s="6"/>
    </row>
    <row r="468">
      <c r="J468" s="6"/>
    </row>
    <row r="469">
      <c r="J469" s="6"/>
    </row>
    <row r="470">
      <c r="J470" s="6"/>
    </row>
    <row r="471">
      <c r="J471" s="6"/>
    </row>
    <row r="472">
      <c r="J472" s="6"/>
    </row>
    <row r="473">
      <c r="J473" s="6"/>
    </row>
    <row r="474">
      <c r="J474" s="6"/>
    </row>
    <row r="475">
      <c r="J475" s="6"/>
    </row>
    <row r="476">
      <c r="J476" s="6"/>
    </row>
    <row r="477">
      <c r="J477" s="6"/>
    </row>
    <row r="478">
      <c r="J478" s="6"/>
    </row>
    <row r="479">
      <c r="J479" s="6"/>
    </row>
    <row r="480">
      <c r="J480" s="6"/>
    </row>
    <row r="481">
      <c r="J481" s="6"/>
    </row>
    <row r="482">
      <c r="J482" s="6"/>
    </row>
    <row r="483">
      <c r="J483" s="6"/>
    </row>
    <row r="484">
      <c r="J484" s="6"/>
    </row>
    <row r="485">
      <c r="J485" s="6"/>
    </row>
    <row r="486">
      <c r="J486" s="6"/>
    </row>
    <row r="487">
      <c r="J487" s="6"/>
    </row>
    <row r="488">
      <c r="J488" s="6"/>
    </row>
    <row r="489">
      <c r="J489" s="6"/>
    </row>
    <row r="490">
      <c r="J490" s="6"/>
    </row>
    <row r="491">
      <c r="J491" s="6"/>
    </row>
    <row r="492">
      <c r="J492" s="6"/>
    </row>
    <row r="493">
      <c r="J493" s="6"/>
    </row>
    <row r="494">
      <c r="J494" s="6"/>
    </row>
    <row r="495">
      <c r="J495" s="6"/>
    </row>
    <row r="496">
      <c r="J496" s="6"/>
    </row>
    <row r="497">
      <c r="J497" s="6"/>
    </row>
    <row r="498">
      <c r="J498" s="6"/>
    </row>
    <row r="499">
      <c r="J499" s="6"/>
    </row>
    <row r="500">
      <c r="J500" s="6"/>
    </row>
    <row r="501">
      <c r="J501" s="6"/>
    </row>
    <row r="502">
      <c r="J502" s="6"/>
    </row>
    <row r="503">
      <c r="J503" s="6"/>
    </row>
    <row r="504">
      <c r="J504" s="6"/>
    </row>
    <row r="505">
      <c r="J505" s="6"/>
    </row>
    <row r="506">
      <c r="J506" s="6"/>
    </row>
    <row r="507">
      <c r="J507" s="6"/>
    </row>
    <row r="508">
      <c r="J508" s="6"/>
    </row>
    <row r="509">
      <c r="J509" s="6"/>
    </row>
    <row r="510">
      <c r="J510" s="6"/>
    </row>
    <row r="511">
      <c r="J511" s="6"/>
    </row>
    <row r="512">
      <c r="J512" s="6"/>
    </row>
    <row r="513">
      <c r="J513" s="6"/>
    </row>
    <row r="514">
      <c r="J514" s="6"/>
    </row>
    <row r="515">
      <c r="J515" s="6"/>
    </row>
    <row r="516">
      <c r="J516" s="6"/>
    </row>
    <row r="517">
      <c r="J517" s="6"/>
    </row>
    <row r="518">
      <c r="J518" s="6"/>
    </row>
    <row r="519">
      <c r="J519" s="6"/>
    </row>
    <row r="520">
      <c r="J520" s="6"/>
    </row>
    <row r="521">
      <c r="J521" s="6"/>
    </row>
    <row r="522">
      <c r="J522" s="6"/>
    </row>
    <row r="523">
      <c r="J523" s="6"/>
    </row>
    <row r="524">
      <c r="J524" s="6"/>
    </row>
    <row r="525">
      <c r="J525" s="6"/>
    </row>
    <row r="526">
      <c r="J526" s="6"/>
    </row>
    <row r="527">
      <c r="J527" s="6"/>
    </row>
    <row r="528">
      <c r="J528" s="6"/>
    </row>
    <row r="529">
      <c r="J529" s="6"/>
    </row>
    <row r="530">
      <c r="J530" s="6"/>
    </row>
    <row r="531">
      <c r="J531" s="6"/>
    </row>
    <row r="532">
      <c r="J532" s="6"/>
    </row>
    <row r="533">
      <c r="J533" s="6"/>
    </row>
    <row r="534">
      <c r="J534" s="6"/>
    </row>
    <row r="535">
      <c r="J535" s="6"/>
    </row>
    <row r="536">
      <c r="J536" s="6"/>
    </row>
    <row r="537">
      <c r="J537" s="6"/>
    </row>
    <row r="538">
      <c r="J538" s="6"/>
    </row>
    <row r="539">
      <c r="J539" s="6"/>
    </row>
    <row r="540">
      <c r="J540" s="6"/>
    </row>
    <row r="541">
      <c r="J541" s="6"/>
    </row>
    <row r="542">
      <c r="J542" s="6"/>
    </row>
    <row r="543">
      <c r="J543" s="6"/>
    </row>
    <row r="544">
      <c r="J544" s="6"/>
    </row>
    <row r="545">
      <c r="J545" s="6"/>
    </row>
    <row r="546">
      <c r="J546" s="6"/>
    </row>
    <row r="547">
      <c r="J547" s="6"/>
    </row>
    <row r="548">
      <c r="J548" s="6"/>
    </row>
    <row r="549">
      <c r="J549" s="6"/>
    </row>
    <row r="550">
      <c r="J550" s="6"/>
    </row>
    <row r="551">
      <c r="J551" s="6"/>
    </row>
    <row r="552">
      <c r="J552" s="6"/>
    </row>
    <row r="553">
      <c r="J553" s="6"/>
    </row>
    <row r="554">
      <c r="J554" s="6"/>
    </row>
    <row r="555">
      <c r="J555" s="6"/>
    </row>
    <row r="556">
      <c r="J556" s="6"/>
    </row>
    <row r="557">
      <c r="J557" s="6"/>
    </row>
    <row r="558">
      <c r="J558" s="6"/>
    </row>
    <row r="559">
      <c r="J559" s="6"/>
    </row>
    <row r="560">
      <c r="J560" s="6"/>
    </row>
    <row r="561">
      <c r="J561" s="6"/>
    </row>
    <row r="562">
      <c r="J562" s="6"/>
    </row>
    <row r="563">
      <c r="J563" s="6"/>
    </row>
    <row r="564">
      <c r="J564" s="6"/>
    </row>
    <row r="565">
      <c r="J565" s="6"/>
    </row>
    <row r="566">
      <c r="J566" s="6"/>
    </row>
    <row r="567">
      <c r="J567" s="6"/>
    </row>
    <row r="568">
      <c r="J568" s="6"/>
    </row>
    <row r="569">
      <c r="J569" s="6"/>
    </row>
    <row r="570">
      <c r="J570" s="6"/>
    </row>
    <row r="571">
      <c r="J571" s="6"/>
    </row>
    <row r="572">
      <c r="J572" s="6"/>
    </row>
    <row r="573">
      <c r="J573" s="6"/>
    </row>
    <row r="574">
      <c r="J574" s="6"/>
    </row>
    <row r="575">
      <c r="J575" s="6"/>
    </row>
    <row r="576">
      <c r="J576" s="6"/>
    </row>
    <row r="577">
      <c r="J577" s="6"/>
    </row>
    <row r="578">
      <c r="J578" s="6"/>
    </row>
    <row r="579">
      <c r="J579" s="6"/>
    </row>
    <row r="580">
      <c r="J580" s="6"/>
    </row>
    <row r="581">
      <c r="J581" s="6"/>
    </row>
    <row r="582">
      <c r="J582" s="6"/>
    </row>
    <row r="583">
      <c r="J583" s="6"/>
    </row>
    <row r="584">
      <c r="J584" s="6"/>
    </row>
    <row r="585">
      <c r="J585" s="6"/>
    </row>
    <row r="586">
      <c r="J586" s="6"/>
    </row>
    <row r="587">
      <c r="J587" s="6"/>
    </row>
    <row r="588">
      <c r="J588" s="6"/>
    </row>
    <row r="589">
      <c r="J589" s="6"/>
    </row>
    <row r="590">
      <c r="J590" s="6"/>
    </row>
    <row r="591">
      <c r="J591" s="6"/>
    </row>
    <row r="592">
      <c r="J592" s="6"/>
    </row>
    <row r="593">
      <c r="J593" s="6"/>
    </row>
    <row r="594">
      <c r="J594" s="6"/>
    </row>
    <row r="595">
      <c r="J595" s="6"/>
    </row>
    <row r="596">
      <c r="J596" s="6"/>
    </row>
    <row r="597">
      <c r="J597" s="6"/>
    </row>
    <row r="598">
      <c r="J598" s="6"/>
    </row>
    <row r="599">
      <c r="J599" s="6"/>
    </row>
    <row r="600">
      <c r="J600" s="6"/>
    </row>
    <row r="601">
      <c r="J601" s="6"/>
    </row>
    <row r="602">
      <c r="J602" s="6"/>
    </row>
    <row r="603">
      <c r="J603" s="6"/>
    </row>
    <row r="604">
      <c r="J604" s="6"/>
    </row>
    <row r="605">
      <c r="J605" s="6"/>
    </row>
    <row r="606">
      <c r="J606" s="6"/>
    </row>
    <row r="607">
      <c r="J607" s="6"/>
    </row>
    <row r="608">
      <c r="J608" s="6"/>
    </row>
    <row r="609">
      <c r="J609" s="6"/>
    </row>
    <row r="610">
      <c r="J610" s="6"/>
    </row>
    <row r="611">
      <c r="J611" s="6"/>
    </row>
    <row r="612">
      <c r="J612" s="6"/>
    </row>
    <row r="613">
      <c r="J613" s="6"/>
    </row>
    <row r="614">
      <c r="J614" s="6"/>
    </row>
    <row r="615">
      <c r="J615" s="6"/>
    </row>
    <row r="616">
      <c r="J616" s="6"/>
    </row>
    <row r="617">
      <c r="J617" s="6"/>
    </row>
    <row r="618">
      <c r="J618" s="6"/>
    </row>
    <row r="619">
      <c r="J619" s="6"/>
    </row>
    <row r="620">
      <c r="J620" s="6"/>
    </row>
    <row r="621">
      <c r="J621" s="6"/>
    </row>
    <row r="622">
      <c r="J622" s="6"/>
    </row>
    <row r="623">
      <c r="J623" s="6"/>
    </row>
    <row r="624">
      <c r="J624" s="6"/>
    </row>
    <row r="625">
      <c r="J625" s="6"/>
    </row>
    <row r="626">
      <c r="J626" s="6"/>
    </row>
    <row r="627">
      <c r="J627" s="6"/>
    </row>
    <row r="628">
      <c r="J628" s="6"/>
    </row>
    <row r="629">
      <c r="J629" s="6"/>
    </row>
    <row r="630">
      <c r="J630" s="6"/>
    </row>
    <row r="631">
      <c r="J631" s="6"/>
    </row>
    <row r="632">
      <c r="J632" s="6"/>
    </row>
    <row r="633">
      <c r="J633" s="6"/>
    </row>
    <row r="634">
      <c r="J634" s="6"/>
    </row>
    <row r="635">
      <c r="J635" s="6"/>
    </row>
    <row r="636">
      <c r="J636" s="6"/>
    </row>
    <row r="637">
      <c r="J637" s="6"/>
    </row>
    <row r="638">
      <c r="J638" s="6"/>
    </row>
    <row r="639">
      <c r="J639" s="6"/>
    </row>
    <row r="640">
      <c r="J640" s="6"/>
    </row>
    <row r="641">
      <c r="J641" s="6"/>
    </row>
    <row r="642">
      <c r="J642" s="6"/>
    </row>
    <row r="643">
      <c r="J643" s="6"/>
    </row>
    <row r="644">
      <c r="J644" s="6"/>
    </row>
    <row r="645">
      <c r="J645" s="6"/>
    </row>
    <row r="646">
      <c r="J646" s="6"/>
    </row>
    <row r="647">
      <c r="J647" s="6"/>
    </row>
    <row r="648">
      <c r="J648" s="6"/>
    </row>
    <row r="649">
      <c r="J649" s="6"/>
    </row>
    <row r="650">
      <c r="J650" s="6"/>
    </row>
    <row r="651">
      <c r="J651" s="6"/>
    </row>
    <row r="652">
      <c r="J652" s="6"/>
    </row>
    <row r="653">
      <c r="J653" s="6"/>
    </row>
    <row r="654">
      <c r="J654" s="6"/>
    </row>
    <row r="655">
      <c r="J655" s="6"/>
    </row>
    <row r="656">
      <c r="J656" s="6"/>
    </row>
    <row r="657">
      <c r="J657" s="6"/>
    </row>
    <row r="658">
      <c r="J658" s="6"/>
    </row>
    <row r="659">
      <c r="J659" s="6"/>
    </row>
    <row r="660">
      <c r="J660" s="6"/>
    </row>
    <row r="661">
      <c r="J661" s="6"/>
    </row>
    <row r="662">
      <c r="J662" s="6"/>
    </row>
    <row r="663">
      <c r="J663" s="6"/>
    </row>
    <row r="664">
      <c r="J664" s="6"/>
    </row>
    <row r="665">
      <c r="J665" s="6"/>
    </row>
    <row r="666">
      <c r="J666" s="6"/>
    </row>
    <row r="667">
      <c r="J667" s="6"/>
    </row>
    <row r="668">
      <c r="J668" s="6"/>
    </row>
    <row r="669">
      <c r="J669" s="6"/>
    </row>
    <row r="670">
      <c r="J670" s="6"/>
    </row>
    <row r="671">
      <c r="J671" s="6"/>
    </row>
    <row r="672">
      <c r="J672" s="6"/>
    </row>
    <row r="673">
      <c r="J673" s="6"/>
    </row>
    <row r="674">
      <c r="J674" s="6"/>
    </row>
    <row r="675">
      <c r="J675" s="6"/>
    </row>
    <row r="676">
      <c r="J676" s="6"/>
    </row>
    <row r="677">
      <c r="J677" s="6"/>
    </row>
    <row r="678">
      <c r="J678" s="6"/>
    </row>
    <row r="679">
      <c r="J679" s="6"/>
    </row>
    <row r="680">
      <c r="J680" s="6"/>
    </row>
    <row r="681">
      <c r="J681" s="6"/>
    </row>
    <row r="682">
      <c r="J682" s="6"/>
    </row>
    <row r="683">
      <c r="J683" s="6"/>
    </row>
    <row r="684">
      <c r="J684" s="6"/>
    </row>
    <row r="685">
      <c r="J685" s="6"/>
    </row>
    <row r="686">
      <c r="J686" s="6"/>
    </row>
    <row r="687">
      <c r="J687" s="6"/>
    </row>
    <row r="688">
      <c r="J688" s="6"/>
    </row>
    <row r="689">
      <c r="J689" s="6"/>
    </row>
    <row r="690">
      <c r="J690" s="6"/>
    </row>
    <row r="691">
      <c r="J691" s="6"/>
    </row>
    <row r="692">
      <c r="J692" s="6"/>
    </row>
    <row r="693">
      <c r="J693" s="6"/>
    </row>
    <row r="694">
      <c r="J694" s="6"/>
    </row>
    <row r="695">
      <c r="J695" s="6"/>
    </row>
    <row r="696">
      <c r="J696" s="6"/>
    </row>
    <row r="697">
      <c r="J697" s="6"/>
    </row>
    <row r="698">
      <c r="J698" s="6"/>
    </row>
    <row r="699">
      <c r="J699" s="6"/>
    </row>
    <row r="700">
      <c r="J700" s="6"/>
    </row>
    <row r="701">
      <c r="J701" s="6"/>
    </row>
    <row r="702">
      <c r="J702" s="6"/>
    </row>
    <row r="703">
      <c r="J703" s="6"/>
    </row>
    <row r="704">
      <c r="J704" s="6"/>
    </row>
    <row r="705">
      <c r="J705" s="6"/>
    </row>
    <row r="706">
      <c r="J706" s="6"/>
    </row>
    <row r="707">
      <c r="J707" s="6"/>
    </row>
    <row r="708">
      <c r="J708" s="6"/>
    </row>
    <row r="709">
      <c r="J709" s="6"/>
    </row>
    <row r="710">
      <c r="J710" s="6"/>
    </row>
    <row r="711">
      <c r="J711" s="6"/>
    </row>
    <row r="712">
      <c r="J712" s="6"/>
    </row>
  </sheetData>
  <autoFilter ref="$A$1:$J$201"/>
  <drawing r:id="rId1"/>
</worksheet>
</file>